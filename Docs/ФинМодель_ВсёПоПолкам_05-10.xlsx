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Допущения" sheetId="2" state="visible" r:id="rId4"/>
    <sheet name="Год" sheetId="3" state="visible" r:id="rId5"/>
    <sheet name="Варианты" sheetId="4" state="visible" r:id="rId6"/>
    <sheet name="Каталог" sheetId="5" state="visible" r:id="rId7"/>
    <sheet name="Алмазы" sheetId="6" state="visible" r:id="rId8"/>
    <sheet name="Когорта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В день t заплатили впервые: установки × Σ новых платящих по возрастам 0…t−1 = установки × «Заплатили (накопл.)» на возрасте t−1.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8" authorId="0">
      <text>
        <r>
          <rPr>
            <sz val="10"/>
            <rFont val="Arial"/>
            <family val="2"/>
          </rPr>
          <t xml:space="preserve">Грубо: годовой доход варианта C × отношение LTV D365. Точнее — менять множители и смотреть лист «Год».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Оценка по курсам игры: 3 отмены = 150 монет, 3 подсказки = 240, «Тележка +1» = 300, предмет оформления ≈ 150 💎, молоток ≈ средняя стройка 60 💎.</t>
        </r>
      </text>
    </comment>
  </commentList>
</comments>
</file>

<file path=xl/sharedStrings.xml><?xml version="1.0" encoding="utf-8"?>
<sst xmlns="http://schemas.openxmlformats.org/spreadsheetml/2006/main" count="335" uniqueCount="317">
  <si>
    <t xml:space="preserve">Финансовая модель «Всё по полкам!» — донат-валюта и доход (05.10.2026)</t>
  </si>
  <si>
    <t xml:space="preserve">Что это. Модель считает, сколько разработчик получает с одного установившего игру игрока (LTV) и с потока игроков за год:</t>
  </si>
  <si>
    <t xml:space="preserve">реклама (межстраничная и за награду) + покупки (первая покупка и повторные). Каталог покупок и алмазы — по дизайну</t>
  </si>
  <si>
    <t xml:space="preserve">Docs/Донат_валюта_ВсёПоПолкам_05-10.md (вариант «узкие алмазы») и экономике v7.</t>
  </si>
  <si>
    <t xml:space="preserve">Как пользоваться:</t>
  </si>
  <si>
    <t xml:space="preserve">1. Лист «Допущения», ячейка B3 — выберите сценарий (Пессимистичный / База / Оптимистичный).</t>
  </si>
  <si>
    <t xml:space="preserve">2. Синие числа — допущения, их можно менять. Жёлтые — главные, их стоит заменить своими данными из консоли Яндекс Игр</t>
  </si>
  <si>
    <t xml:space="preserve">   (удержание D1/D7/D30, показы рекламы на игрока, eCPM, конверсия в платящих, установки в день).</t>
  </si>
  <si>
    <t xml:space="preserve">3. Чёрные числа — формулы, их не трогать. Зелёные — ссылки на другой лист.</t>
  </si>
  <si>
    <t xml:space="preserve">4. «Каталог» — цены и состав покупок, доли в первых и повторных покупках (из них считается средний чек).</t>
  </si>
  <si>
    <t xml:space="preserve">5. «Алмазы» — откуда бесплатный игрок берёт алмазы, на что их тратит и хватает ли на «попробовать».</t>
  </si>
  <si>
    <t xml:space="preserve">6. «Когорта» — один день установок, 365 дней жизни: удержание, платящие, доход по дням, накопленный LTV.</t>
  </si>
  <si>
    <t xml:space="preserve">7. «Год» — поток установок каждый день, доход по месяцам (месяц = 30 дней) и итоговые показатели.</t>
  </si>
  <si>
    <t xml:space="preserve">8. «Варианты» — сравнение: всё за рубли / универсальные алмазы / узкие алмазы / как сейчас (оценки, проверять тестом).</t>
  </si>
  <si>
    <t xml:space="preserve">Важно. Данных Яндекс Игр по eCPM, удержанию и конверсии в открытом доступе почти нет: базовые числа — оценки по жанру</t>
  </si>
  <si>
    <t xml:space="preserve">(казуальные головоломки) и по открытым отчётам. Доля разработчика — 50 % по лицензионному соглашению Яндекса;</t>
  </si>
  <si>
    <t xml:space="preserve">в части источников для покупок указано до 70 % — проверьте свой договор. Если у вас есть цифры из консоли</t>
  </si>
  <si>
    <t xml:space="preserve">(например, по LaserSiege) — подставьте их, модель станет точной.</t>
  </si>
  <si>
    <t xml:space="preserve">Курс валют в игре: 1 ₽ ≈ 20 монет (пакет 1 000 монет за 49 ₽), 1 💎 ≈ 1 ₽ (30 💎 за 29 ₽), значит 1 💎 ≈ 20 монет.</t>
  </si>
  <si>
    <t xml:space="preserve">Собрано скриптом Tools/finmodel_build.py — правки структуры лучше вносить туда и пересобирать.</t>
  </si>
  <si>
    <t xml:space="preserve">Допущения модели</t>
  </si>
  <si>
    <t xml:space="preserve">Сценарий (выберите):</t>
  </si>
  <si>
    <t xml:space="preserve">База</t>
  </si>
  <si>
    <t xml:space="preserve">Параметр</t>
  </si>
  <si>
    <t xml:space="preserve">Выбрано</t>
  </si>
  <si>
    <t xml:space="preserve">Пессимистичный</t>
  </si>
  <si>
    <t xml:space="preserve">Оптимистичный</t>
  </si>
  <si>
    <t xml:space="preserve">Ед.</t>
  </si>
  <si>
    <t xml:space="preserve">Откуда / комментарий</t>
  </si>
  <si>
    <t xml:space="preserve">Новых игроков в день (установки)</t>
  </si>
  <si>
    <t xml:space="preserve">чел.</t>
  </si>
  <si>
    <t xml:space="preserve">Подставьте свою цифру из консоли. Модель линейна по установкам.</t>
  </si>
  <si>
    <t xml:space="preserve">Удержание D1</t>
  </si>
  <si>
    <t xml:space="preserve">Оценка для веб-казуальных головоломок; мобильные лидеры жанра — 35–45 %.</t>
  </si>
  <si>
    <t xml:space="preserve">Удержание D7</t>
  </si>
  <si>
    <t xml:space="preserve">Оценка; цель — 15 %+.</t>
  </si>
  <si>
    <t xml:space="preserve">Удержание D30</t>
  </si>
  <si>
    <t xml:space="preserve">Оценка; на мобильных хорошие головоломки 5–10 %.</t>
  </si>
  <si>
    <t xml:space="preserve">Удержание D90</t>
  </si>
  <si>
    <t xml:space="preserve">Оценка.</t>
  </si>
  <si>
    <t xml:space="preserve">Удержание D180</t>
  </si>
  <si>
    <t xml:space="preserve">Удержание D365</t>
  </si>
  <si>
    <t xml:space="preserve">Межстраничная реклама: показов на игрока в день</t>
  </si>
  <si>
    <t xml:space="preserve">показ</t>
  </si>
  <si>
    <t xml:space="preserve">Платформа: не чаще раза в 60 с, с 4-го уровня; сессия ~15 мин.</t>
  </si>
  <si>
    <t xml:space="preserve">Видео за награду: показов на игрока в день</t>
  </si>
  <si>
    <t xml:space="preserve">Симулятор v7: смотрящий рекламу — 6,6 в день; смотрит ~40 % игроков.</t>
  </si>
  <si>
    <t xml:space="preserve">eCPM межстраничной, ₽ за 1 000 показов (валовый)</t>
  </si>
  <si>
    <t xml:space="preserve">₽</t>
  </si>
  <si>
    <t xml:space="preserve">Оценка. Возьмите из консоли («Доход по источникам» / показы × 1000).</t>
  </si>
  <si>
    <t xml:space="preserve">eCPM видео за награду, ₽ за 1 000 показов (валовый)</t>
  </si>
  <si>
    <t xml:space="preserve">Оценка; видео за награду обычно дороже межстраничной в 1,5–3 раза.</t>
  </si>
  <si>
    <t xml:space="preserve">Доля разработчика от рекламы</t>
  </si>
  <si>
    <t xml:space="preserve">Лицензионное соглашение Яндекс Игр: 50 % дохода Яндекса.</t>
  </si>
  <si>
    <t xml:space="preserve">Доля разработчика от покупок</t>
  </si>
  <si>
    <t xml:space="preserve">50 % по соглашению; в части источников — до 70 %. Проверить договор.</t>
  </si>
  <si>
    <t xml:space="preserve">Конверсия в платящих за всю жизнь (от установок)</t>
  </si>
  <si>
    <t xml:space="preserve">Казуальные головоломки на мобильных ~2 % (wnhub: 1,96–2,38 %); в вебе ниже.</t>
  </si>
  <si>
    <t xml:space="preserve">Доля первых покупок в первые 14 дней</t>
  </si>
  <si>
    <t xml:space="preserve">77 % платящих платят впервые в первые 2 недели (отраслевые данные).</t>
  </si>
  <si>
    <t xml:space="preserve">Платящие удерживаются лучше, во сколько раз</t>
  </si>
  <si>
    <t xml:space="preserve">раз</t>
  </si>
  <si>
    <t xml:space="preserve">Оценка: платящие играют дольше среднего в 2–3 раза.</t>
  </si>
  <si>
    <t xml:space="preserve">Повторных покупок на активного платящего за 30 дней</t>
  </si>
  <si>
    <t xml:space="preserve">шт.</t>
  </si>
  <si>
    <t xml:space="preserve">Оценка; по v7 моментов оплаты ~17 за «Лёгкий» у неплатящего.</t>
  </si>
  <si>
    <t xml:space="preserve">Доля платящих, купивших «Без рекламы»</t>
  </si>
  <si>
    <t xml:space="preserve">Оценка; убирает межстраничную рекламу у этих игроков.</t>
  </si>
  <si>
    <t xml:space="preserve">Производные (формулы)</t>
  </si>
  <si>
    <t xml:space="preserve">Скорость конверсии k (из доли в первые 14 дней)</t>
  </si>
  <si>
    <t xml:space="preserve">Доля заплативших к дню d = конверсия × (1 − e^(−k·d)).</t>
  </si>
  <si>
    <t xml:space="preserve">Средний чек первой покупки, ₽</t>
  </si>
  <si>
    <t xml:space="preserve">Средний чек повторной покупки, ₽</t>
  </si>
  <si>
    <t xml:space="preserve">Валовый доход с рекламы на игрока в день, ₽</t>
  </si>
  <si>
    <t xml:space="preserve">Курс: монет за 1 ₽ (пакет «Горстка монет»)</t>
  </si>
  <si>
    <t xml:space="preserve">Курс: алмазов за 1 ₽ (самый маленький пакет)</t>
  </si>
  <si>
    <t xml:space="preserve">Год: каждый день приходят новые игроки (месяц = 30 дней)</t>
  </si>
  <si>
    <t xml:space="preserve">Установок в день:</t>
  </si>
  <si>
    <t xml:space="preserve">Месяц</t>
  </si>
  <si>
    <t xml:space="preserve">Средний DAU</t>
  </si>
  <si>
    <t xml:space="preserve">Новых платящих</t>
  </si>
  <si>
    <t xml:space="preserve">Активных платящих (ср.)</t>
  </si>
  <si>
    <t xml:space="preserve">Реклама, ₽ (разраб.)</t>
  </si>
  <si>
    <t xml:space="preserve">Покупки, ₽ (разраб.)</t>
  </si>
  <si>
    <t xml:space="preserve">Итого разработчику, ₽</t>
  </si>
  <si>
    <t xml:space="preserve">Валовый доход, ₽</t>
  </si>
  <si>
    <t xml:space="preserve">ARPDAU разраб., ₽</t>
  </si>
  <si>
    <t xml:space="preserve">Накопл. разработчику, ₽</t>
  </si>
  <si>
    <t xml:space="preserve">Месяц 1</t>
  </si>
  <si>
    <t xml:space="preserve">Месяц 2</t>
  </si>
  <si>
    <t xml:space="preserve">Месяц 3</t>
  </si>
  <si>
    <t xml:space="preserve">Месяц 4</t>
  </si>
  <si>
    <t xml:space="preserve">Месяц 5</t>
  </si>
  <si>
    <t xml:space="preserve">Месяц 6</t>
  </si>
  <si>
    <t xml:space="preserve">Месяц 7</t>
  </si>
  <si>
    <t xml:space="preserve">Месяц 8</t>
  </si>
  <si>
    <t xml:space="preserve">Месяц 9</t>
  </si>
  <si>
    <t xml:space="preserve">Месяц 10</t>
  </si>
  <si>
    <t xml:space="preserve">Месяц 11</t>
  </si>
  <si>
    <t xml:space="preserve">Месяц 12</t>
  </si>
  <si>
    <t xml:space="preserve">Итого за год</t>
  </si>
  <si>
    <t xml:space="preserve">Главные показатели</t>
  </si>
  <si>
    <t xml:space="preserve">Показатель</t>
  </si>
  <si>
    <t xml:space="preserve">Значение</t>
  </si>
  <si>
    <t xml:space="preserve">LTV разработчика на установку, D7</t>
  </si>
  <si>
    <t xml:space="preserve">LTV, D30</t>
  </si>
  <si>
    <t xml:space="preserve">LTV, D90</t>
  </si>
  <si>
    <t xml:space="preserve">LTV, D365</t>
  </si>
  <si>
    <t xml:space="preserve">Доля покупок в LTV D365</t>
  </si>
  <si>
    <t xml:space="preserve">Доля рекламы в LTV D365</t>
  </si>
  <si>
    <t xml:space="preserve">Средний DAU в 12-м месяце</t>
  </si>
  <si>
    <t xml:space="preserve">ARPDAU разработчика за год, ₽</t>
  </si>
  <si>
    <t xml:space="preserve">Доход разработчика за год, ₽</t>
  </si>
  <si>
    <t xml:space="preserve">Доход разработчика в 12-м месяце, ₽</t>
  </si>
  <si>
    <t xml:space="preserve">Сколько можно платить за установку (окупаемость за 90 дней), ₽</t>
  </si>
  <si>
    <t xml:space="preserve">Варианты донат-валюты: что будет с доходом</t>
  </si>
  <si>
    <t xml:space="preserve">Множители — моя оценка относительно варианта «Узкие алмазы» (= 1). Это не данные: проверять A/B-тестом после выпуска.</t>
  </si>
  <si>
    <t xml:space="preserve">Слагаемые LTV D365 берутся с листа «Когорта» (реклама, первые и повторные покупки).</t>
  </si>
  <si>
    <t xml:space="preserve">Вариант</t>
  </si>
  <si>
    <t xml:space="preserve">× реклама</t>
  </si>
  <si>
    <t xml:space="preserve">× первые покупки</t>
  </si>
  <si>
    <t xml:space="preserve">× повторные</t>
  </si>
  <si>
    <t xml:space="preserve">LTV D365, ₽</t>
  </si>
  <si>
    <t xml:space="preserve">к «Узким алмазам»</t>
  </si>
  <si>
    <t xml:space="preserve">Почему такие множители</t>
  </si>
  <si>
    <t xml:space="preserve">C. Узкие алмазы (рекомендую)</t>
  </si>
  <si>
    <t xml:space="preserve">Монеты за ₽ одной кнопкой в момент нехватки; алмазы — время, спасение, стиль; немного бесплатно — игрок пробует.</t>
  </si>
  <si>
    <t xml:space="preserve">A. Всё за рубли, алмазов нет</t>
  </si>
  <si>
    <t xml:space="preserve">Первая покупка та же (стартовый, «Горстка»). Повторных меньше: каждое ускорение и продолжение — отдельное окно оплаты; нет «остатка» на счёте, который тянет к следующей покупке; бесплатный игрок не пробует платные вещи.</t>
  </si>
  <si>
    <t xml:space="preserve">B. Универсальные алмазы (₽ → 💎 → всё, как в v5)</t>
  </si>
  <si>
    <t xml:space="preserve">Монеты только через обмен алмазов: в момент нехватки два шага вместо одного — меньше первых покупок. Повторных чуть больше: всё в одной валюте, остатки тратятся на всё.</t>
  </si>
  <si>
    <t xml:space="preserve">D. Как сейчас (билд 24)</t>
  </si>
  <si>
    <t xml:space="preserve">Монет всегда хватает, продолжения бесплатные, молоток 25 💎: моментов, когда нужна покупка, почти нет (симулятор v7: ~0 против ~17).</t>
  </si>
  <si>
    <t xml:space="preserve">LTV D365 «Узкие алмазы» по слагаемым:</t>
  </si>
  <si>
    <t xml:space="preserve">реклама</t>
  </si>
  <si>
    <t xml:space="preserve">первые покупки</t>
  </si>
  <si>
    <t xml:space="preserve">повторные покупки</t>
  </si>
  <si>
    <t xml:space="preserve">Что получается при годе с этим потоком установок, ₽ разработчику:</t>
  </si>
  <si>
    <t xml:space="preserve">Каталог покупок (вариант «узкие алмазы», экономика v7)</t>
  </si>
  <si>
    <t xml:space="preserve">Синие — можно менять. «Прочее, ₽» — оценка стоимости отмен, подсказок, «Тележек +1», скинов, молотков по курсам игры.</t>
  </si>
  <si>
    <t xml:space="preserve">ID в консоли</t>
  </si>
  <si>
    <t xml:space="preserve">Название</t>
  </si>
  <si>
    <t xml:space="preserve">Цена, ₽</t>
  </si>
  <si>
    <t xml:space="preserve">Монет</t>
  </si>
  <si>
    <t xml:space="preserve">Алмазов</t>
  </si>
  <si>
    <t xml:space="preserve">Что ещё внутри</t>
  </si>
  <si>
    <t xml:space="preserve">Прочее, ₽ (оценка)</t>
  </si>
  <si>
    <t xml:space="preserve">Ценность, ₽</t>
  </si>
  <si>
    <t xml:space="preserve">Выгода</t>
  </si>
  <si>
    <t xml:space="preserve">Доля в первых</t>
  </si>
  <si>
    <t xml:space="preserve">Доля в повторных</t>
  </si>
  <si>
    <t xml:space="preserve">Когда показывать</t>
  </si>
  <si>
    <t xml:space="preserve">coins_s</t>
  </si>
  <si>
    <t xml:space="preserve">Горстка монет</t>
  </si>
  <si>
    <t xml:space="preserve">—</t>
  </si>
  <si>
    <t xml:space="preserve">Окно «Не хватает монет» (ремонт, продолжение), одной кнопкой</t>
  </si>
  <si>
    <t xml:space="preserve">coins_m</t>
  </si>
  <si>
    <t xml:space="preserve">Мешок монет</t>
  </si>
  <si>
    <t xml:space="preserve">Магазин, «Монеты»; в окне нехватки — если не хватает &gt; 1 000</t>
  </si>
  <si>
    <t xml:space="preserve">coins_l</t>
  </si>
  <si>
    <t xml:space="preserve">Сундук монет</t>
  </si>
  <si>
    <t xml:space="preserve">Магазин, «Монеты»</t>
  </si>
  <si>
    <t xml:space="preserve">coins_xl</t>
  </si>
  <si>
    <t xml:space="preserve">Гора монет</t>
  </si>
  <si>
    <t xml:space="preserve">gems_30</t>
  </si>
  <si>
    <t xml:space="preserve">Горсть алмазов</t>
  </si>
  <si>
    <t xml:space="preserve">Окно «Не хватает алмазов» (стройка, продолжение)</t>
  </si>
  <si>
    <t xml:space="preserve">gems_90</t>
  </si>
  <si>
    <t xml:space="preserve">Мешочек алмазов</t>
  </si>
  <si>
    <t xml:space="preserve">+10 %</t>
  </si>
  <si>
    <t xml:space="preserve">Магазин, «Алмазы»</t>
  </si>
  <si>
    <t xml:space="preserve">gems_180</t>
  </si>
  <si>
    <t xml:space="preserve">Миска алмазов</t>
  </si>
  <si>
    <t xml:space="preserve">+17 %</t>
  </si>
  <si>
    <t xml:space="preserve">gems_400</t>
  </si>
  <si>
    <t xml:space="preserve">Сундучок алмазов</t>
  </si>
  <si>
    <t xml:space="preserve">+29 %</t>
  </si>
  <si>
    <t xml:space="preserve">gems_850</t>
  </si>
  <si>
    <t xml:space="preserve">Сундук алмазов</t>
  </si>
  <si>
    <t xml:space="preserve">+37 %</t>
  </si>
  <si>
    <t xml:space="preserve">gems_1800</t>
  </si>
  <si>
    <t xml:space="preserve">Тележка алмазов</t>
  </si>
  <si>
    <t xml:space="preserve">+46 %</t>
  </si>
  <si>
    <t xml:space="preserve">starter_pack</t>
  </si>
  <si>
    <t xml:space="preserve">Стартовый набор</t>
  </si>
  <si>
    <t xml:space="preserve">10 отмен, 5 подсказок, тележка в цветах</t>
  </si>
  <si>
    <t xml:space="preserve">После 6-го уровня, 72 ч; затем на 20-м и 40-м</t>
  </si>
  <si>
    <t xml:space="preserve">piggy</t>
  </si>
  <si>
    <t xml:space="preserve">Копилка енота</t>
  </si>
  <si>
    <t xml:space="preserve">2 000–4 000 монет (в среднем ~2 500); разбить можно с 2 000</t>
  </si>
  <si>
    <t xml:space="preserve">Когда в копилке ≥ 1 200; свинка на доме</t>
  </si>
  <si>
    <t xml:space="preserve">no_ads</t>
  </si>
  <si>
    <t xml:space="preserve">Без рекламы</t>
  </si>
  <si>
    <t xml:space="preserve">без межстраничной рекламы и баннера навсегда</t>
  </si>
  <si>
    <t xml:space="preserve">После 3-й межстраничной за сессию</t>
  </si>
  <si>
    <t xml:space="preserve">helpers_pack</t>
  </si>
  <si>
    <t xml:space="preserve">Набор помощника</t>
  </si>
  <si>
    <t xml:space="preserve">15 отмен, 8 подсказок, 3 «Тележки +1»</t>
  </si>
  <si>
    <t xml:space="preserve">3 поражения подряд на одном уровне</t>
  </si>
  <si>
    <t xml:space="preserve">house_boost</t>
  </si>
  <si>
    <t xml:space="preserve">Прораб</t>
  </si>
  <si>
    <t xml:space="preserve">3 молотка (любая стройка сразу)</t>
  </si>
  <si>
    <t xml:space="preserve">Стройка ≥ 24 ч</t>
  </si>
  <si>
    <t xml:space="preserve">builder_pack</t>
  </si>
  <si>
    <t xml:space="preserve">Набор строителя</t>
  </si>
  <si>
    <t xml:space="preserve">10 отмен, 5 подсказок, 3 «Тележки +1»</t>
  </si>
  <si>
    <t xml:space="preserve">После 60-го уровня, в окне нехватки, раз в 3 дня</t>
  </si>
  <si>
    <t xml:space="preserve">gold_path</t>
  </si>
  <si>
    <t xml:space="preserve">Золотой путь</t>
  </si>
  <si>
    <t xml:space="preserve">Кот, молотки, алмазы, скины пирата и короля</t>
  </si>
  <si>
    <t xml:space="preserve">После 50-го уровня и после «Лёгкого»</t>
  </si>
  <si>
    <t xml:space="preserve">theme_*</t>
  </si>
  <si>
    <t xml:space="preserve">Наборы оформления</t>
  </si>
  <si>
    <t xml:space="preserve">4–5 предметов оформления (≈ 600 💎 поштучно)</t>
  </si>
  <si>
    <t xml:space="preserve">«Гардероб», магазин</t>
  </si>
  <si>
    <t xml:space="preserve">set_gold</t>
  </si>
  <si>
    <t xml:space="preserve">Золотой магазин</t>
  </si>
  <si>
    <t xml:space="preserve">3 золотых предмета оформления</t>
  </si>
  <si>
    <t xml:space="preserve">Итого долей (должно быть 100 %)</t>
  </si>
  <si>
    <t xml:space="preserve">Доли — оценка; после выпуска заменить на долю выручки по товарам из консоли.</t>
  </si>
  <si>
    <t xml:space="preserve">Средний чек, ₽</t>
  </si>
  <si>
    <t xml:space="preserve">Алмазы: откуда, куда и хватает ли бесплатному игроку</t>
  </si>
  <si>
    <t xml:space="preserve">Правило: монеты — на прогресс (ремонт, дом, помощь в уровне); алмазы — на время, спасение и стиль. Обмена алмазов на монеты нет.</t>
  </si>
  <si>
    <t xml:space="preserve">Бесплатный источник</t>
  </si>
  <si>
    <t xml:space="preserve">Как часто, раз в день</t>
  </si>
  <si>
    <t xml:space="preserve">Участвует, доля</t>
  </si>
  <si>
    <t xml:space="preserve">В день</t>
  </si>
  <si>
    <t xml:space="preserve">Комментарий</t>
  </si>
  <si>
    <t xml:space="preserve">Испытание дня (победа)</t>
  </si>
  <si>
    <t xml:space="preserve">v7: 40 монет + 1 💎; с 15-го уровня</t>
  </si>
  <si>
    <t xml:space="preserve">Испытание дня: 7 дней подряд</t>
  </si>
  <si>
    <t xml:space="preserve">v7: 200 монет + 10 💎</t>
  </si>
  <si>
    <t xml:space="preserve">Задания недели: последний сундук</t>
  </si>
  <si>
    <t xml:space="preserve">v7: цели сложнее, закрывается к концу недели</t>
  </si>
  <si>
    <t xml:space="preserve">Задания месяца: большой приз</t>
  </si>
  <si>
    <t xml:space="preserve">v7: 40 💎 + 250 монет</t>
  </si>
  <si>
    <t xml:space="preserve">Сундуки серии (5-я и 10-я победа)</t>
  </si>
  <si>
    <t xml:space="preserve">1 💎 на 5-й, 2 💎 на 10-й; ~10 побед за 4 дня без проигрыша</t>
  </si>
  <si>
    <t xml:space="preserve">Альбом: отдел собран</t>
  </si>
  <si>
    <t xml:space="preserve">v7: 100 монет + 5 💎 вместо +2 % монет навсегда</t>
  </si>
  <si>
    <t xml:space="preserve">Звёздный путь</t>
  </si>
  <si>
    <t xml:space="preserve">~60 💎 на весь путь</t>
  </si>
  <si>
    <t xml:space="preserve">Режимы «Средний»/«Сложный»: район пройден</t>
  </si>
  <si>
    <t xml:space="preserve">+3 / +5 💎 за район; только после «Лёгкого»</t>
  </si>
  <si>
    <t xml:space="preserve">Итого бесплатно в день</t>
  </si>
  <si>
    <t xml:space="preserve">За 30 / 90 / 150 дней</t>
  </si>
  <si>
    <t xml:space="preserve">Цена «Готово сразу» по оставшемуся времени (Economy.SkipMin / SkipGems)</t>
  </si>
  <si>
    <t xml:space="preserve">Осталось, минут</t>
  </si>
  <si>
    <t xml:space="preserve">Между точками — линейно</t>
  </si>
  <si>
    <t xml:space="preserve">Стройки дома: сколько стоит пропустить каждую целиком</t>
  </si>
  <si>
    <t xml:space="preserve">Комната</t>
  </si>
  <si>
    <t xml:space="preserve">Стройка, минут</t>
  </si>
  <si>
    <t xml:space="preserve">Алмазов, чтобы сразу</t>
  </si>
  <si>
    <t xml:space="preserve">Формула — интерполяция по таблице выше</t>
  </si>
  <si>
    <t xml:space="preserve">Подсобка</t>
  </si>
  <si>
    <t xml:space="preserve">Мастерская</t>
  </si>
  <si>
    <t xml:space="preserve">Стойка у входа</t>
  </si>
  <si>
    <t xml:space="preserve">Кладовая</t>
  </si>
  <si>
    <t xml:space="preserve">Холодильный цех</t>
  </si>
  <si>
    <t xml:space="preserve">Рекламный отдел</t>
  </si>
  <si>
    <t xml:space="preserve">Ночной пост</t>
  </si>
  <si>
    <t xml:space="preserve">Грузовая рампа</t>
  </si>
  <si>
    <t xml:space="preserve">Буфет</t>
  </si>
  <si>
    <t xml:space="preserve">Кабинет управляющего</t>
  </si>
  <si>
    <t xml:space="preserve">Терраса</t>
  </si>
  <si>
    <t xml:space="preserve">Пропустить все стройки дома</t>
  </si>
  <si>
    <t xml:space="preserve">На что ещё тратятся алмазы</t>
  </si>
  <si>
    <t xml:space="preserve">Трата</t>
  </si>
  <si>
    <t xml:space="preserve">Зачем</t>
  </si>
  <si>
    <t xml:space="preserve">Продолжение, когда монет не хватает (1-е / районы 1–5)</t>
  </si>
  <si>
    <t xml:space="preserve">кнопка показывает монеты, если хватает, иначе алмазы — никогда обе</t>
  </si>
  <si>
    <t xml:space="preserve">Продолжение 2-е / 3-е (районы 1–5)</t>
  </si>
  <si>
    <t xml:space="preserve">3-е — 70 💎; районы 6–10 — 20/45/90, 11–15 — 25/60/120</t>
  </si>
  <si>
    <t xml:space="preserve">Сохранить серию побед</t>
  </si>
  <si>
    <t xml:space="preserve">серия даёт сундуки; 1 раз за серию</t>
  </si>
  <si>
    <t xml:space="preserve">Ещё попытка Испытания дня (новое)</t>
  </si>
  <si>
    <t xml:space="preserve">маленький ежедневный сток для тех, у кого алмазы лежат</t>
  </si>
  <si>
    <t xml:space="preserve">Предмет оформления поштучно (новое)</t>
  </si>
  <si>
    <t xml:space="preserve">тележка 150, конвейер/стеллаж 120, фон 200, ореол 100; эксклюзивы Золотого пути — не продаются</t>
  </si>
  <si>
    <t xml:space="preserve">Пачка наклеек (новое)</t>
  </si>
  <si>
    <t xml:space="preserve">для коллекционеров альбома</t>
  </si>
  <si>
    <t xml:space="preserve">Проверка: хватает ли бесплатному игроку «попробовать», но не «всё»</t>
  </si>
  <si>
    <t xml:space="preserve">Что</t>
  </si>
  <si>
    <t xml:space="preserve">За 30 дней</t>
  </si>
  <si>
    <t xml:space="preserve">За 90 дней</t>
  </si>
  <si>
    <t xml:space="preserve">За 150 дней</t>
  </si>
  <si>
    <t xml:space="preserve">Цель</t>
  </si>
  <si>
    <t xml:space="preserve">Бесплатных алмазов</t>
  </si>
  <si>
    <t xml:space="preserve">немного: 3–6 в день</t>
  </si>
  <si>
    <t xml:space="preserve">Продолжений за алмазы (по 15 💎)</t>
  </si>
  <si>
    <t xml:space="preserve">раз в несколько дней можно спастись алмазами — игрок узнаёт, что они ценные</t>
  </si>
  <si>
    <t xml:space="preserve">Пропусков суточной стройки (60 💎)</t>
  </si>
  <si>
    <t xml:space="preserve">суточную стройку бесплатно можно пропустить раз в 2–3 недели</t>
  </si>
  <si>
    <t xml:space="preserve">Предметов оформления (150 💎)</t>
  </si>
  <si>
    <t xml:space="preserve">1 предмет в месяц — цель копить</t>
  </si>
  <si>
    <t xml:space="preserve">Доля «пропустить весь дом», которую покрывают бесплатные</t>
  </si>
  <si>
    <t xml:space="preserve">должно быть заметно &lt; 100 % к концу «Лёгкого» — иначе таймеры не продают</t>
  </si>
  <si>
    <t xml:space="preserve">Когорта: один установивший игрок, 365 дней жизни (все суммы — на одну установку)</t>
  </si>
  <si>
    <t xml:space="preserve">Удержание между опорными днями — по степенной кривой (линейно в логарифмах). Возраст 0 — день установки.</t>
  </si>
  <si>
    <t xml:space="preserve">Опорные точки удержания</t>
  </si>
  <si>
    <t xml:space="preserve">Возраст, дн</t>
  </si>
  <si>
    <t xml:space="preserve">Удержание</t>
  </si>
  <si>
    <t xml:space="preserve">Накопл. удержание</t>
  </si>
  <si>
    <t xml:space="preserve">Заплатили (накопл.)</t>
  </si>
  <si>
    <t xml:space="preserve">Новые платящие</t>
  </si>
  <si>
    <t xml:space="preserve">Активные платящие</t>
  </si>
  <si>
    <t xml:space="preserve">Реклама, ₽ (вал)</t>
  </si>
  <si>
    <t xml:space="preserve">Первые покупки, ₽ (вал)</t>
  </si>
  <si>
    <t xml:space="preserve">Повторные, ₽ (вал)</t>
  </si>
  <si>
    <t xml:space="preserve">Доход разработчика, ₽</t>
  </si>
  <si>
    <t xml:space="preserve">LTV разработчика, ₽</t>
  </si>
  <si>
    <t xml:space="preserve">LTV: реклама</t>
  </si>
  <si>
    <t xml:space="preserve">LTV: первые покупки</t>
  </si>
  <si>
    <t xml:space="preserve">LTV: повторные</t>
  </si>
  <si>
    <t xml:space="preserve">LTV валовый, ₽</t>
  </si>
  <si>
    <t xml:space="preserve">Накопл. активных платящих</t>
  </si>
  <si>
    <t xml:space="preserve">Сегм.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</si>
</sst>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0.0%;\(0.0%\);\-"/>
    <numFmt numFmtId="167" formatCode="#,##0.0;\(#,##0.0\);\-"/>
    <numFmt numFmtId="168" formatCode="0.00%;\(0.00%\);\-"/>
    <numFmt numFmtId="169" formatCode="0.0000"/>
    <numFmt numFmtId="170" formatCode="#,##0&quot; ₽&quot;;\(#,##0&quot; ₽)&quot;;\-"/>
    <numFmt numFmtId="171" formatCode="#,##0.00&quot; ₽&quot;;\(#,##0.00&quot; ₽)&quot;;\-"/>
    <numFmt numFmtId="172" formatCode="#,##0.00;\(#,##0.00\);\-"/>
    <numFmt numFmtId="173" formatCode="0.000%"/>
    <numFmt numFmtId="174" formatCode="0.00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F6D7A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0D4"/>
      </left>
      <right style="thin">
        <color rgb="FFC8D0D4"/>
      </right>
      <top style="thin">
        <color rgb="FFC8D0D4"/>
      </top>
      <bottom style="thin">
        <color rgb="FFC8D0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D0D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6D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4"/>
    <col collapsed="false" customWidth="true" hidden="false" outlineLevel="0" max="6" min="6" style="0" width="10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20</v>
      </c>
    </row>
    <row r="3" customFormat="false" ht="15" hidden="false" customHeight="false" outlineLevel="0" collapsed="false">
      <c r="A3" s="3" t="s">
        <v>21</v>
      </c>
      <c r="B3" s="4" t="s">
        <v>22</v>
      </c>
    </row>
    <row r="5" customFormat="false" ht="31.5" hidden="false" customHeight="true" outlineLevel="0" collapsed="false">
      <c r="A5" s="5" t="s">
        <v>23</v>
      </c>
      <c r="B5" s="5" t="s">
        <v>24</v>
      </c>
      <c r="C5" s="5" t="s">
        <v>25</v>
      </c>
      <c r="D5" s="5" t="s">
        <v>22</v>
      </c>
      <c r="E5" s="5" t="s">
        <v>26</v>
      </c>
      <c r="F5" s="5" t="s">
        <v>27</v>
      </c>
      <c r="G5" s="5" t="s">
        <v>28</v>
      </c>
    </row>
    <row r="6" customFormat="false" ht="15" hidden="false" customHeight="false" outlineLevel="0" collapsed="false">
      <c r="A6" s="2" t="s">
        <v>29</v>
      </c>
      <c r="B6" s="6" t="n">
        <f aca="false">INDEX(C6:E6,MATCH($B$3,$C$5:$E$5,0))</f>
        <v>1000</v>
      </c>
      <c r="C6" s="7" t="n">
        <v>300</v>
      </c>
      <c r="D6" s="7" t="n">
        <v>1000</v>
      </c>
      <c r="E6" s="7" t="n">
        <v>3000</v>
      </c>
      <c r="F6" s="2" t="s">
        <v>30</v>
      </c>
      <c r="G6" s="8" t="s">
        <v>31</v>
      </c>
    </row>
    <row r="7" customFormat="false" ht="15" hidden="false" customHeight="false" outlineLevel="0" collapsed="false">
      <c r="A7" s="2" t="s">
        <v>32</v>
      </c>
      <c r="B7" s="9" t="n">
        <f aca="false">INDEX(C7:E7,MATCH($B$3,$C$5:$E$5,0))</f>
        <v>0.3</v>
      </c>
      <c r="C7" s="10" t="n">
        <v>0.22</v>
      </c>
      <c r="D7" s="10" t="n">
        <v>0.3</v>
      </c>
      <c r="E7" s="10" t="n">
        <v>0.38</v>
      </c>
      <c r="F7" s="2"/>
      <c r="G7" s="8" t="s">
        <v>33</v>
      </c>
    </row>
    <row r="8" customFormat="false" ht="15" hidden="false" customHeight="false" outlineLevel="0" collapsed="false">
      <c r="A8" s="2" t="s">
        <v>34</v>
      </c>
      <c r="B8" s="9" t="n">
        <f aca="false">INDEX(C8:E8,MATCH($B$3,$C$5:$E$5,0))</f>
        <v>0.12</v>
      </c>
      <c r="C8" s="10" t="n">
        <v>0.08</v>
      </c>
      <c r="D8" s="10" t="n">
        <v>0.12</v>
      </c>
      <c r="E8" s="10" t="n">
        <v>0.17</v>
      </c>
      <c r="F8" s="2"/>
      <c r="G8" s="8" t="s">
        <v>35</v>
      </c>
    </row>
    <row r="9" customFormat="false" ht="15" hidden="false" customHeight="false" outlineLevel="0" collapsed="false">
      <c r="A9" s="2" t="s">
        <v>36</v>
      </c>
      <c r="B9" s="9" t="n">
        <f aca="false">INDEX(C9:E9,MATCH($B$3,$C$5:$E$5,0))</f>
        <v>0.05</v>
      </c>
      <c r="C9" s="10" t="n">
        <v>0.03</v>
      </c>
      <c r="D9" s="10" t="n">
        <v>0.05</v>
      </c>
      <c r="E9" s="10" t="n">
        <v>0.08</v>
      </c>
      <c r="F9" s="2"/>
      <c r="G9" s="8" t="s">
        <v>37</v>
      </c>
    </row>
    <row r="10" customFormat="false" ht="15" hidden="false" customHeight="false" outlineLevel="0" collapsed="false">
      <c r="A10" s="2" t="s">
        <v>38</v>
      </c>
      <c r="B10" s="9" t="n">
        <f aca="false">INDEX(C10:E10,MATCH($B$3,$C$5:$E$5,0))</f>
        <v>0.022</v>
      </c>
      <c r="C10" s="11" t="n">
        <v>0.012</v>
      </c>
      <c r="D10" s="11" t="n">
        <v>0.022</v>
      </c>
      <c r="E10" s="11" t="n">
        <v>0.04</v>
      </c>
      <c r="F10" s="2"/>
      <c r="G10" s="8" t="s">
        <v>39</v>
      </c>
    </row>
    <row r="11" customFormat="false" ht="15" hidden="false" customHeight="false" outlineLevel="0" collapsed="false">
      <c r="A11" s="2" t="s">
        <v>40</v>
      </c>
      <c r="B11" s="9" t="n">
        <f aca="false">INDEX(C11:E11,MATCH($B$3,$C$5:$E$5,0))</f>
        <v>0.012</v>
      </c>
      <c r="C11" s="11" t="n">
        <v>0.006</v>
      </c>
      <c r="D11" s="11" t="n">
        <v>0.012</v>
      </c>
      <c r="E11" s="11" t="n">
        <v>0.025</v>
      </c>
      <c r="F11" s="2"/>
      <c r="G11" s="8" t="s">
        <v>39</v>
      </c>
    </row>
    <row r="12" customFormat="false" ht="15" hidden="false" customHeight="false" outlineLevel="0" collapsed="false">
      <c r="A12" s="2" t="s">
        <v>41</v>
      </c>
      <c r="B12" s="9" t="n">
        <f aca="false">INDEX(C12:E12,MATCH($B$3,$C$5:$E$5,0))</f>
        <v>0.005</v>
      </c>
      <c r="C12" s="11" t="n">
        <v>0.002</v>
      </c>
      <c r="D12" s="11" t="n">
        <v>0.005</v>
      </c>
      <c r="E12" s="11" t="n">
        <v>0.012</v>
      </c>
      <c r="F12" s="2"/>
      <c r="G12" s="8" t="s">
        <v>39</v>
      </c>
    </row>
    <row r="13" customFormat="false" ht="15" hidden="false" customHeight="false" outlineLevel="0" collapsed="false">
      <c r="A13" s="2" t="s">
        <v>42</v>
      </c>
      <c r="B13" s="12" t="n">
        <f aca="false">INDEX(C13:E13,MATCH($B$3,$C$5:$E$5,0))</f>
        <v>3</v>
      </c>
      <c r="C13" s="13" t="n">
        <v>2.5</v>
      </c>
      <c r="D13" s="13" t="n">
        <v>3</v>
      </c>
      <c r="E13" s="13" t="n">
        <v>3.5</v>
      </c>
      <c r="F13" s="2" t="s">
        <v>43</v>
      </c>
      <c r="G13" s="8" t="s">
        <v>44</v>
      </c>
    </row>
    <row r="14" customFormat="false" ht="15" hidden="false" customHeight="false" outlineLevel="0" collapsed="false">
      <c r="A14" s="2" t="s">
        <v>45</v>
      </c>
      <c r="B14" s="12" t="n">
        <f aca="false">INDEX(C14:E14,MATCH($B$3,$C$5:$E$5,0))</f>
        <v>2.5</v>
      </c>
      <c r="C14" s="13" t="n">
        <v>1.5</v>
      </c>
      <c r="D14" s="13" t="n">
        <v>2.5</v>
      </c>
      <c r="E14" s="13" t="n">
        <v>3.5</v>
      </c>
      <c r="F14" s="2" t="s">
        <v>43</v>
      </c>
      <c r="G14" s="8" t="s">
        <v>46</v>
      </c>
    </row>
    <row r="15" customFormat="false" ht="15" hidden="false" customHeight="false" outlineLevel="0" collapsed="false">
      <c r="A15" s="2" t="s">
        <v>47</v>
      </c>
      <c r="B15" s="6" t="n">
        <f aca="false">INDEX(C15:E15,MATCH($B$3,$C$5:$E$5,0))</f>
        <v>120</v>
      </c>
      <c r="C15" s="7" t="n">
        <v>80</v>
      </c>
      <c r="D15" s="7" t="n">
        <v>120</v>
      </c>
      <c r="E15" s="7" t="n">
        <v>180</v>
      </c>
      <c r="F15" s="2" t="s">
        <v>48</v>
      </c>
      <c r="G15" s="8" t="s">
        <v>49</v>
      </c>
    </row>
    <row r="16" customFormat="false" ht="15" hidden="false" customHeight="false" outlineLevel="0" collapsed="false">
      <c r="A16" s="2" t="s">
        <v>50</v>
      </c>
      <c r="B16" s="6" t="n">
        <f aca="false">INDEX(C16:E16,MATCH($B$3,$C$5:$E$5,0))</f>
        <v>250</v>
      </c>
      <c r="C16" s="7" t="n">
        <v>150</v>
      </c>
      <c r="D16" s="7" t="n">
        <v>250</v>
      </c>
      <c r="E16" s="7" t="n">
        <v>400</v>
      </c>
      <c r="F16" s="2" t="s">
        <v>48</v>
      </c>
      <c r="G16" s="8" t="s">
        <v>51</v>
      </c>
    </row>
    <row r="17" customFormat="false" ht="15" hidden="false" customHeight="false" outlineLevel="0" collapsed="false">
      <c r="A17" s="2" t="s">
        <v>52</v>
      </c>
      <c r="B17" s="9" t="n">
        <f aca="false">INDEX(C17:E17,MATCH($B$3,$C$5:$E$5,0))</f>
        <v>0.5</v>
      </c>
      <c r="C17" s="11" t="n">
        <v>0.5</v>
      </c>
      <c r="D17" s="11" t="n">
        <v>0.5</v>
      </c>
      <c r="E17" s="11" t="n">
        <v>0.5</v>
      </c>
      <c r="F17" s="2"/>
      <c r="G17" s="8" t="s">
        <v>53</v>
      </c>
    </row>
    <row r="18" customFormat="false" ht="15" hidden="false" customHeight="false" outlineLevel="0" collapsed="false">
      <c r="A18" s="2" t="s">
        <v>54</v>
      </c>
      <c r="B18" s="9" t="n">
        <f aca="false">INDEX(C18:E18,MATCH($B$3,$C$5:$E$5,0))</f>
        <v>0.5</v>
      </c>
      <c r="C18" s="10" t="n">
        <v>0.5</v>
      </c>
      <c r="D18" s="10" t="n">
        <v>0.5</v>
      </c>
      <c r="E18" s="10" t="n">
        <v>0.5</v>
      </c>
      <c r="F18" s="2"/>
      <c r="G18" s="8" t="s">
        <v>55</v>
      </c>
    </row>
    <row r="19" customFormat="false" ht="15" hidden="false" customHeight="false" outlineLevel="0" collapsed="false">
      <c r="A19" s="2" t="s">
        <v>56</v>
      </c>
      <c r="B19" s="14" t="n">
        <f aca="false">INDEX(C19:E19,MATCH($B$3,$C$5:$E$5,0))</f>
        <v>0.01</v>
      </c>
      <c r="C19" s="15" t="n">
        <v>0.005</v>
      </c>
      <c r="D19" s="15" t="n">
        <v>0.01</v>
      </c>
      <c r="E19" s="15" t="n">
        <v>0.02</v>
      </c>
      <c r="F19" s="2"/>
      <c r="G19" s="8" t="s">
        <v>57</v>
      </c>
    </row>
    <row r="20" customFormat="false" ht="15" hidden="false" customHeight="false" outlineLevel="0" collapsed="false">
      <c r="A20" s="2" t="s">
        <v>58</v>
      </c>
      <c r="B20" s="9" t="n">
        <f aca="false">INDEX(C20:E20,MATCH($B$3,$C$5:$E$5,0))</f>
        <v>0.77</v>
      </c>
      <c r="C20" s="11" t="n">
        <v>0.77</v>
      </c>
      <c r="D20" s="11" t="n">
        <v>0.77</v>
      </c>
      <c r="E20" s="11" t="n">
        <v>0.77</v>
      </c>
      <c r="F20" s="2"/>
      <c r="G20" s="8" t="s">
        <v>59</v>
      </c>
    </row>
    <row r="21" customFormat="false" ht="15" hidden="false" customHeight="false" outlineLevel="0" collapsed="false">
      <c r="A21" s="2" t="s">
        <v>60</v>
      </c>
      <c r="B21" s="12" t="n">
        <f aca="false">INDEX(C21:E21,MATCH($B$3,$C$5:$E$5,0))</f>
        <v>2.5</v>
      </c>
      <c r="C21" s="16" t="n">
        <v>2</v>
      </c>
      <c r="D21" s="16" t="n">
        <v>2.5</v>
      </c>
      <c r="E21" s="16" t="n">
        <v>3</v>
      </c>
      <c r="F21" s="2" t="s">
        <v>61</v>
      </c>
      <c r="G21" s="8" t="s">
        <v>62</v>
      </c>
    </row>
    <row r="22" customFormat="false" ht="15" hidden="false" customHeight="false" outlineLevel="0" collapsed="false">
      <c r="A22" s="2" t="s">
        <v>63</v>
      </c>
      <c r="B22" s="12" t="n">
        <f aca="false">INDEX(C22:E22,MATCH($B$3,$C$5:$E$5,0))</f>
        <v>1</v>
      </c>
      <c r="C22" s="13" t="n">
        <v>0.6</v>
      </c>
      <c r="D22" s="13" t="n">
        <v>1</v>
      </c>
      <c r="E22" s="13" t="n">
        <v>1.4</v>
      </c>
      <c r="F22" s="2" t="s">
        <v>64</v>
      </c>
      <c r="G22" s="8" t="s">
        <v>65</v>
      </c>
    </row>
    <row r="23" customFormat="false" ht="15" hidden="false" customHeight="false" outlineLevel="0" collapsed="false">
      <c r="A23" s="2" t="s">
        <v>66</v>
      </c>
      <c r="B23" s="9" t="n">
        <f aca="false">INDEX(C23:E23,MATCH($B$3,$C$5:$E$5,0))</f>
        <v>0.15</v>
      </c>
      <c r="C23" s="11" t="n">
        <v>0.15</v>
      </c>
      <c r="D23" s="11" t="n">
        <v>0.15</v>
      </c>
      <c r="E23" s="11" t="n">
        <v>0.15</v>
      </c>
      <c r="F23" s="2"/>
      <c r="G23" s="8" t="s">
        <v>67</v>
      </c>
    </row>
    <row r="25" customFormat="false" ht="15" hidden="false" customHeight="false" outlineLevel="0" collapsed="false">
      <c r="A25" s="3" t="s">
        <v>68</v>
      </c>
    </row>
    <row r="26" customFormat="false" ht="15" hidden="false" customHeight="false" outlineLevel="0" collapsed="false">
      <c r="A26" s="2" t="s">
        <v>69</v>
      </c>
      <c r="B26" s="17" t="n">
        <f aca="false">-LN(1-Допущения!$B$20)/14</f>
        <v>0.10497685500421</v>
      </c>
      <c r="G26" s="8" t="s">
        <v>70</v>
      </c>
    </row>
    <row r="27" customFormat="false" ht="15" hidden="false" customHeight="false" outlineLevel="0" collapsed="false">
      <c r="A27" s="2" t="s">
        <v>71</v>
      </c>
      <c r="B27" s="18" t="n">
        <f aca="false">Каталог!J25</f>
        <v>93.5</v>
      </c>
    </row>
    <row r="28" customFormat="false" ht="15" hidden="false" customHeight="false" outlineLevel="0" collapsed="false">
      <c r="A28" s="2" t="s">
        <v>72</v>
      </c>
      <c r="B28" s="18" t="n">
        <f aca="false">Каталог!K25</f>
        <v>145.31308411215</v>
      </c>
    </row>
    <row r="29" customFormat="false" ht="15" hidden="false" customHeight="false" outlineLevel="0" collapsed="false">
      <c r="A29" s="2" t="s">
        <v>73</v>
      </c>
      <c r="B29" s="19" t="n">
        <f aca="false">(Допущения!$B$13*Допущения!$B$15+Допущения!$B$14*Допущения!$B$16)/1000</f>
        <v>0.985</v>
      </c>
    </row>
    <row r="30" customFormat="false" ht="15" hidden="false" customHeight="false" outlineLevel="0" collapsed="false">
      <c r="A30" s="2" t="s">
        <v>74</v>
      </c>
      <c r="B30" s="20" t="n">
        <f aca="false">Каталог!D5/Каталог!C5</f>
        <v>20.4081632653061</v>
      </c>
    </row>
    <row r="31" customFormat="false" ht="15" hidden="false" customHeight="false" outlineLevel="0" collapsed="false">
      <c r="A31" s="2" t="s">
        <v>75</v>
      </c>
      <c r="B31" s="21" t="n">
        <f aca="false">Каталог!E9/Каталог!C9</f>
        <v>1.03448275862069</v>
      </c>
    </row>
  </sheetData>
  <dataValidations count="1">
    <dataValidation allowBlank="false" errorStyle="stop" operator="between" showDropDown="false" showErrorMessage="false" showInputMessage="false" sqref="B3" type="list">
      <formula1>"Пессимистичный,База,Оптимистичный"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3" t="s">
        <v>77</v>
      </c>
      <c r="B2" s="22" t="n">
        <f aca="false">Допущения!$B$6</f>
        <v>1000</v>
      </c>
    </row>
    <row r="4" customFormat="false" ht="31.5" hidden="false" customHeight="true" outlineLevel="0" collapsed="false">
      <c r="A4" s="5" t="s">
        <v>78</v>
      </c>
      <c r="B4" s="5" t="s">
        <v>79</v>
      </c>
      <c r="C4" s="5" t="s">
        <v>80</v>
      </c>
      <c r="D4" s="5" t="s">
        <v>81</v>
      </c>
      <c r="E4" s="5" t="s">
        <v>82</v>
      </c>
      <c r="F4" s="5" t="s">
        <v>83</v>
      </c>
      <c r="G4" s="5" t="s">
        <v>84</v>
      </c>
      <c r="H4" s="5" t="s">
        <v>85</v>
      </c>
      <c r="I4" s="5" t="s">
        <v>86</v>
      </c>
      <c r="J4" s="5" t="s">
        <v>87</v>
      </c>
    </row>
    <row r="5" customFormat="false" ht="15" hidden="false" customHeight="false" outlineLevel="0" collapsed="false">
      <c r="A5" s="2" t="s">
        <v>88</v>
      </c>
      <c r="B5" s="6" t="n">
        <f aca="false">$B$2*SUM(INDEX(Когорта!$C$7:$C$371,1):INDEX(Когорта!$C$7:$C$371,30))/30</f>
        <v>2779.63696185098</v>
      </c>
      <c r="C5" s="6" t="n">
        <f aca="false">$B$2*SUM(INDEX(Когорта!$D$7:$D$371,1):INDEX(Когорта!$D$7:$D$371,30))</f>
        <v>213.52767358196</v>
      </c>
      <c r="D5" s="6" t="n">
        <f aca="false">$B$2*SUM(INDEX(Когорта!$P$7:$P$371,1):INDEX(Когорта!$P$7:$P$371,30))/30</f>
        <v>23.4972039299106</v>
      </c>
      <c r="E5" s="23" t="n">
        <f aca="false">$B$2*SUM(INDEX(Когорта!$L$7:$L$371,1):INDEX(Когорта!$L$7:$L$371,30))</f>
        <v>41050.1033761649</v>
      </c>
      <c r="F5" s="23" t="n">
        <f aca="false">$B$2*(SUM(INDEX(Когорта!$M$7:$M$371,1):INDEX(Когорта!$M$7:$M$371,30))+SUM(INDEX(Когорта!$N$7:$N$371,1):INDEX(Когорта!$N$7:$N$371,30)))</f>
        <v>11689.6443254903</v>
      </c>
      <c r="G5" s="24" t="n">
        <f aca="false">E5+F5</f>
        <v>52739.7477016553</v>
      </c>
      <c r="H5" s="23" t="n">
        <f aca="false">$B$2*SUM(INDEX(Когорта!$O$7:$O$371,1):INDEX(Когорта!$O$7:$O$371,30))</f>
        <v>105479.495403311</v>
      </c>
      <c r="I5" s="19" t="n">
        <f aca="false">IF(B5=0,0,G5/(B5*30))</f>
        <v>0.632453667217218</v>
      </c>
      <c r="J5" s="23" t="n">
        <f aca="false">G5</f>
        <v>52739.7477016553</v>
      </c>
    </row>
    <row r="6" customFormat="false" ht="15" hidden="false" customHeight="false" outlineLevel="0" collapsed="false">
      <c r="A6" s="2" t="s">
        <v>89</v>
      </c>
      <c r="B6" s="6" t="n">
        <f aca="false">$B$2*SUM(INDEX(Когорта!$C$7:$C$371,31):INDEX(Когорта!$C$7:$C$371,60))/30</f>
        <v>4455.38504150767</v>
      </c>
      <c r="C6" s="6" t="n">
        <f aca="false">$B$2*SUM(INDEX(Когорта!$D$7:$D$371,31):INDEX(Когорта!$D$7:$D$371,60))</f>
        <v>296.291903074885</v>
      </c>
      <c r="D6" s="6" t="n">
        <f aca="false">$B$2*SUM(INDEX(Когорта!$P$7:$P$371,31):INDEX(Когорта!$P$7:$P$371,60))/30</f>
        <v>59.8491443011487</v>
      </c>
      <c r="E6" s="23" t="n">
        <f aca="false">$B$2*SUM(INDEX(Когорта!$L$7:$L$371,31):INDEX(Когорта!$L$7:$L$371,60))</f>
        <v>65779.8361813919</v>
      </c>
      <c r="F6" s="23" t="n">
        <f aca="false">$B$2*(SUM(INDEX(Когорта!$M$7:$M$371,31):INDEX(Когорта!$M$7:$M$371,60))+SUM(INDEX(Когорта!$N$7:$N$371,31):INDEX(Когорта!$N$7:$N$371,60)))</f>
        <v>18200.0783386874</v>
      </c>
      <c r="G6" s="24" t="n">
        <f aca="false">E6+F6</f>
        <v>83979.9145200792</v>
      </c>
      <c r="H6" s="23" t="n">
        <f aca="false">$B$2*SUM(INDEX(Когорта!$O$7:$O$371,31):INDEX(Когорта!$O$7:$O$371,60))</f>
        <v>167959.829040159</v>
      </c>
      <c r="I6" s="19" t="n">
        <f aca="false">IF(B6=0,0,G6/(B6*30))</f>
        <v>0.628302707380678</v>
      </c>
      <c r="J6" s="23" t="n">
        <f aca="false">J5+G6</f>
        <v>136719.662221735</v>
      </c>
    </row>
    <row r="7" customFormat="false" ht="15" hidden="false" customHeight="false" outlineLevel="0" collapsed="false">
      <c r="A7" s="2" t="s">
        <v>90</v>
      </c>
      <c r="B7" s="6" t="n">
        <f aca="false">$B$2*SUM(INDEX(Когорта!$C$7:$C$371,61):INDEX(Когорта!$C$7:$C$371,90))/30</f>
        <v>5375.6249875536</v>
      </c>
      <c r="C7" s="6" t="n">
        <f aca="false">$B$2*SUM(INDEX(Когорта!$D$7:$D$371,61):INDEX(Когорта!$D$7:$D$371,90))</f>
        <v>299.840989789733</v>
      </c>
      <c r="D7" s="6" t="n">
        <f aca="false">$B$2*SUM(INDEX(Когорта!$P$7:$P$371,61):INDEX(Когорта!$P$7:$P$371,90))/30</f>
        <v>82.7559613534001</v>
      </c>
      <c r="E7" s="23" t="n">
        <f aca="false">$B$2*SUM(INDEX(Когорта!$L$7:$L$371,61):INDEX(Когорта!$L$7:$L$371,90))</f>
        <v>79357.8268624081</v>
      </c>
      <c r="F7" s="23" t="n">
        <f aca="false">$B$2*(SUM(INDEX(Когорта!$M$7:$M$371,61):INDEX(Когорта!$M$7:$M$371,90))+SUM(INDEX(Когорта!$N$7:$N$371,61):INDEX(Когорта!$N$7:$N$371,90)))</f>
        <v>20030.3282591342</v>
      </c>
      <c r="G7" s="24" t="n">
        <f aca="false">E7+F7</f>
        <v>99388.1551215423</v>
      </c>
      <c r="H7" s="23" t="n">
        <f aca="false">$B$2*SUM(INDEX(Когорта!$O$7:$O$371,61):INDEX(Когорта!$O$7:$O$371,90))</f>
        <v>198776.310243085</v>
      </c>
      <c r="I7" s="19" t="n">
        <f aca="false">IF(B7=0,0,G7/(B7*30))</f>
        <v>0.616288991832948</v>
      </c>
      <c r="J7" s="23" t="n">
        <f aca="false">J6+G7</f>
        <v>236107.817343277</v>
      </c>
    </row>
    <row r="8" customFormat="false" ht="15" hidden="false" customHeight="false" outlineLevel="0" collapsed="false">
      <c r="A8" s="2" t="s">
        <v>91</v>
      </c>
      <c r="B8" s="6" t="n">
        <f aca="false">$B$2*SUM(INDEX(Когорта!$C$7:$C$371,91):INDEX(Когорта!$C$7:$C$371,120))/30</f>
        <v>6040.09102345078</v>
      </c>
      <c r="C8" s="6" t="n">
        <f aca="false">$B$2*SUM(INDEX(Когорта!$D$7:$D$371,91):INDEX(Когорта!$D$7:$D$371,120))</f>
        <v>299.993181341405</v>
      </c>
      <c r="D8" s="6" t="n">
        <f aca="false">$B$2*SUM(INDEX(Когорта!$P$7:$P$371,91):INDEX(Когорта!$P$7:$P$371,120))/30</f>
        <v>99.3647350486089</v>
      </c>
      <c r="E8" s="23" t="n">
        <f aca="false">$B$2*SUM(INDEX(Когорта!$L$7:$L$371,91):INDEX(Когорта!$L$7:$L$371,120))</f>
        <v>89161.8594360959</v>
      </c>
      <c r="F8" s="23" t="n">
        <f aca="false">$B$2*(SUM(INDEX(Когорта!$M$7:$M$371,91):INDEX(Когорта!$M$7:$M$371,120))+SUM(INDEX(Когорта!$N$7:$N$371,91):INDEX(Когорта!$N$7:$N$371,120)))</f>
        <v>21244.1792786607</v>
      </c>
      <c r="G8" s="24" t="n">
        <f aca="false">E8+F8</f>
        <v>110406.038714757</v>
      </c>
      <c r="H8" s="23" t="n">
        <f aca="false">$B$2*SUM(INDEX(Когорта!$O$7:$O$371,91):INDEX(Когорта!$O$7:$O$371,120))</f>
        <v>220812.077429513</v>
      </c>
      <c r="I8" s="19" t="n">
        <f aca="false">IF(B8=0,0,G8/(B8*30))</f>
        <v>0.609295667267832</v>
      </c>
      <c r="J8" s="23" t="n">
        <f aca="false">J7+G8</f>
        <v>346513.856058033</v>
      </c>
    </row>
    <row r="9" customFormat="false" ht="15" hidden="false" customHeight="false" outlineLevel="0" collapsed="false">
      <c r="A9" s="2" t="s">
        <v>92</v>
      </c>
      <c r="B9" s="6" t="n">
        <f aca="false">$B$2*SUM(INDEX(Когорта!$C$7:$C$371,121):INDEX(Когорта!$C$7:$C$371,150))/30</f>
        <v>6557.77488822493</v>
      </c>
      <c r="C9" s="6" t="n">
        <f aca="false">$B$2*SUM(INDEX(Когорта!$D$7:$D$371,121):INDEX(Когорта!$D$7:$D$371,150))</f>
        <v>299.999707603022</v>
      </c>
      <c r="D9" s="6" t="n">
        <f aca="false">$B$2*SUM(INDEX(Когорта!$P$7:$P$371,121):INDEX(Когорта!$P$7:$P$371,150))/30</f>
        <v>112.306737647518</v>
      </c>
      <c r="E9" s="23" t="n">
        <f aca="false">$B$2*SUM(INDEX(Когорта!$L$7:$L$371,121):INDEX(Когорта!$L$7:$L$371,150))</f>
        <v>96800.1555160288</v>
      </c>
      <c r="F9" s="23" t="n">
        <f aca="false">$B$2*(SUM(INDEX(Когорта!$M$7:$M$371,121):INDEX(Когорта!$M$7:$M$371,150))+SUM(INDEX(Когорта!$N$7:$N$371,121):INDEX(Когорта!$N$7:$N$371,150)))</f>
        <v>22184.8055375087</v>
      </c>
      <c r="G9" s="24" t="n">
        <f aca="false">E9+F9</f>
        <v>118984.961053537</v>
      </c>
      <c r="H9" s="23" t="n">
        <f aca="false">$B$2*SUM(INDEX(Когорта!$O$7:$O$371,121):INDEX(Когорта!$O$7:$O$371,150))</f>
        <v>237969.922107075</v>
      </c>
      <c r="I9" s="19" t="n">
        <f aca="false">IF(B9=0,0,G9/(B9*30))</f>
        <v>0.604803524984191</v>
      </c>
      <c r="J9" s="23" t="n">
        <f aca="false">J8+G9</f>
        <v>465498.817111571</v>
      </c>
    </row>
    <row r="10" customFormat="false" ht="15" hidden="false" customHeight="false" outlineLevel="0" collapsed="false">
      <c r="A10" s="2" t="s">
        <v>93</v>
      </c>
      <c r="B10" s="6" t="n">
        <f aca="false">$B$2*SUM(INDEX(Когорта!$C$7:$C$371,151):INDEX(Когорта!$C$7:$C$371,180))/30</f>
        <v>6982.33929835452</v>
      </c>
      <c r="C10" s="6" t="n">
        <f aca="false">$B$2*SUM(INDEX(Когорта!$D$7:$D$371,151):INDEX(Когорта!$D$7:$D$371,180))</f>
        <v>299.999987461465</v>
      </c>
      <c r="D10" s="6" t="n">
        <f aca="false">$B$2*SUM(INDEX(Когорта!$P$7:$P$371,151):INDEX(Когорта!$P$7:$P$371,180))/30</f>
        <v>122.920844664641</v>
      </c>
      <c r="E10" s="23" t="n">
        <f aca="false">$B$2*SUM(INDEX(Когорта!$L$7:$L$371,151):INDEX(Когорта!$L$7:$L$371,180))</f>
        <v>103064.49724901</v>
      </c>
      <c r="F10" s="23" t="n">
        <f aca="false">$B$2*(SUM(INDEX(Когорта!$M$7:$M$371,151):INDEX(Когорта!$M$7:$M$371,180))+SUM(INDEX(Когорта!$N$7:$N$371,151):INDEX(Когорта!$N$7:$N$371,180)))</f>
        <v>22956.0029337682</v>
      </c>
      <c r="G10" s="24" t="n">
        <f aca="false">E10+F10</f>
        <v>126020.500182778</v>
      </c>
      <c r="H10" s="23" t="n">
        <f aca="false">$B$2*SUM(INDEX(Когорта!$O$7:$O$371,151):INDEX(Когорта!$O$7:$O$371,180))</f>
        <v>252041.000365556</v>
      </c>
      <c r="I10" s="19" t="n">
        <f aca="false">IF(B10=0,0,G10/(B10*30))</f>
        <v>0.60161547010697</v>
      </c>
      <c r="J10" s="23" t="n">
        <f aca="false">J9+G10</f>
        <v>591519.317294349</v>
      </c>
    </row>
    <row r="11" customFormat="false" ht="15" hidden="false" customHeight="false" outlineLevel="0" collapsed="false">
      <c r="A11" s="2" t="s">
        <v>94</v>
      </c>
      <c r="B11" s="6" t="n">
        <f aca="false">$B$2*SUM(INDEX(Когорта!$C$7:$C$371,181):INDEX(Когорта!$C$7:$C$371,210))/30</f>
        <v>7340.50191513296</v>
      </c>
      <c r="C11" s="6" t="n">
        <f aca="false">$B$2*SUM(INDEX(Когорта!$D$7:$D$371,181):INDEX(Когорта!$D$7:$D$371,210))</f>
        <v>299.999999462324</v>
      </c>
      <c r="D11" s="6" t="n">
        <f aca="false">$B$2*SUM(INDEX(Когорта!$P$7:$P$371,181):INDEX(Когорта!$P$7:$P$371,210))/30</f>
        <v>131.874909967756</v>
      </c>
      <c r="E11" s="23" t="n">
        <f aca="false">$B$2*SUM(INDEX(Когорта!$L$7:$L$371,181):INDEX(Когорта!$L$7:$L$371,210))</f>
        <v>108349.097119016</v>
      </c>
      <c r="F11" s="23" t="n">
        <f aca="false">$B$2*(SUM(INDEX(Когорта!$M$7:$M$371,181):INDEX(Когорта!$M$7:$M$371,210))+SUM(INDEX(Когорта!$N$7:$N$371,181):INDEX(Когорта!$N$7:$N$371,210)))</f>
        <v>23606.574917077</v>
      </c>
      <c r="G11" s="24" t="n">
        <f aca="false">E11+F11</f>
        <v>131955.672036092</v>
      </c>
      <c r="H11" s="23" t="n">
        <f aca="false">$B$2*SUM(INDEX(Когорта!$O$7:$O$371,181):INDEX(Когорта!$O$7:$O$371,210))</f>
        <v>263911.344072185</v>
      </c>
      <c r="I11" s="19" t="n">
        <f aca="false">IF(B11=0,0,G11/(B11*30))</f>
        <v>0.599212758481164</v>
      </c>
      <c r="J11" s="23" t="n">
        <f aca="false">J10+G11</f>
        <v>723474.989330441</v>
      </c>
    </row>
    <row r="12" customFormat="false" ht="15" hidden="false" customHeight="false" outlineLevel="0" collapsed="false">
      <c r="A12" s="2" t="s">
        <v>95</v>
      </c>
      <c r="B12" s="6" t="n">
        <f aca="false">$B$2*SUM(INDEX(Когорта!$C$7:$C$371,211):INDEX(Когорта!$C$7:$C$371,240))/30</f>
        <v>7639.35360692544</v>
      </c>
      <c r="C12" s="6" t="n">
        <f aca="false">$B$2*SUM(INDEX(Когорта!$D$7:$D$371,211):INDEX(Когорта!$D$7:$D$371,240))</f>
        <v>299.999999976943</v>
      </c>
      <c r="D12" s="6" t="n">
        <f aca="false">$B$2*SUM(INDEX(Когорта!$P$7:$P$371,211):INDEX(Когорта!$P$7:$P$371,240))/30</f>
        <v>139.34620225838</v>
      </c>
      <c r="E12" s="23" t="n">
        <f aca="false">$B$2*SUM(INDEX(Когорта!$L$7:$L$371,211):INDEX(Когорта!$L$7:$L$371,240))</f>
        <v>112758.579118494</v>
      </c>
      <c r="F12" s="23" t="n">
        <f aca="false">$B$2*(SUM(INDEX(Когорта!$M$7:$M$371,211):INDEX(Когорта!$M$7:$M$371,240))+SUM(INDEX(Когорта!$N$7:$N$371,211):INDEX(Когорта!$N$7:$N$371,240)))</f>
        <v>24149.4132036624</v>
      </c>
      <c r="G12" s="24" t="n">
        <f aca="false">E12+F12</f>
        <v>136907.992322156</v>
      </c>
      <c r="H12" s="23" t="n">
        <f aca="false">$B$2*SUM(INDEX(Когорта!$O$7:$O$371,211):INDEX(Когорта!$O$7:$O$371,240))</f>
        <v>273815.984644313</v>
      </c>
      <c r="I12" s="19" t="n">
        <f aca="false">IF(B12=0,0,G12/(B12*30))</f>
        <v>0.597380351648438</v>
      </c>
      <c r="J12" s="23" t="n">
        <f aca="false">J11+G12</f>
        <v>860382.981652598</v>
      </c>
    </row>
    <row r="13" customFormat="false" ht="15" hidden="false" customHeight="false" outlineLevel="0" collapsed="false">
      <c r="A13" s="2" t="s">
        <v>96</v>
      </c>
      <c r="B13" s="6" t="n">
        <f aca="false">$B$2*SUM(INDEX(Когорта!$C$7:$C$371,241):INDEX(Когорта!$C$7:$C$371,270))/30</f>
        <v>7892.37294183334</v>
      </c>
      <c r="C13" s="6" t="n">
        <f aca="false">$B$2*SUM(INDEX(Когорта!$D$7:$D$371,241):INDEX(Когорта!$D$7:$D$371,270))</f>
        <v>299.999999999011</v>
      </c>
      <c r="D13" s="6" t="n">
        <f aca="false">$B$2*SUM(INDEX(Когорта!$P$7:$P$371,241):INDEX(Когорта!$P$7:$P$371,270))/30</f>
        <v>145.671685630927</v>
      </c>
      <c r="E13" s="23" t="n">
        <f aca="false">$B$2*SUM(INDEX(Когорта!$L$7:$L$371,241):INDEX(Когорта!$L$7:$L$371,270))</f>
        <v>116491.816150227</v>
      </c>
      <c r="F13" s="23" t="n">
        <f aca="false">$B$2*(SUM(INDEX(Когорта!$M$7:$M$371,241):INDEX(Когорта!$M$7:$M$371,270))+SUM(INDEX(Когорта!$N$7:$N$371,241):INDEX(Когорта!$N$7:$N$371,270)))</f>
        <v>24609.0009533765</v>
      </c>
      <c r="G13" s="24" t="n">
        <f aca="false">E13+F13</f>
        <v>141100.817103603</v>
      </c>
      <c r="H13" s="23" t="n">
        <f aca="false">$B$2*SUM(INDEX(Когорта!$O$7:$O$371,241):INDEX(Когорта!$O$7:$O$371,270))</f>
        <v>282201.634207206</v>
      </c>
      <c r="I13" s="19" t="n">
        <f aca="false">IF(B13=0,0,G13/(B13*30))</f>
        <v>0.595937445529221</v>
      </c>
      <c r="J13" s="23" t="n">
        <f aca="false">J12+G13</f>
        <v>1001483.7987562</v>
      </c>
    </row>
    <row r="14" customFormat="false" ht="15" hidden="false" customHeight="false" outlineLevel="0" collapsed="false">
      <c r="A14" s="2" t="s">
        <v>97</v>
      </c>
      <c r="B14" s="6" t="n">
        <f aca="false">$B$2*SUM(INDEX(Когорта!$C$7:$C$371,271):INDEX(Когорта!$C$7:$C$371,300))/30</f>
        <v>8110.8848411183</v>
      </c>
      <c r="C14" s="6" t="n">
        <f aca="false">$B$2*SUM(INDEX(Когорта!$D$7:$D$371,271):INDEX(Когорта!$D$7:$D$371,300))</f>
        <v>299.999999999958</v>
      </c>
      <c r="D14" s="6" t="n">
        <f aca="false">$B$2*SUM(INDEX(Когорта!$P$7:$P$371,271):INDEX(Когорта!$P$7:$P$371,300))/30</f>
        <v>151.134483113045</v>
      </c>
      <c r="E14" s="23" t="n">
        <f aca="false">$B$2*SUM(INDEX(Когорта!$L$7:$L$371,271):INDEX(Когорта!$L$7:$L$371,300))</f>
        <v>119715.904596201</v>
      </c>
      <c r="F14" s="23" t="n">
        <f aca="false">$B$2*(SUM(INDEX(Когорта!$M$7:$M$371,271):INDEX(Когорта!$M$7:$M$371,300))+SUM(INDEX(Когорта!$N$7:$N$371,271):INDEX(Когорта!$N$7:$N$371,300)))</f>
        <v>25005.9089284241</v>
      </c>
      <c r="G14" s="24" t="n">
        <f aca="false">E14+F14</f>
        <v>144721.813524625</v>
      </c>
      <c r="H14" s="23" t="n">
        <f aca="false">$B$2*SUM(INDEX(Когорта!$O$7:$O$371,271):INDEX(Когорта!$O$7:$O$371,300))</f>
        <v>289443.627049251</v>
      </c>
      <c r="I14" s="19" t="n">
        <f aca="false">IF(B14=0,0,G14/(B14*30))</f>
        <v>0.594763770577184</v>
      </c>
      <c r="J14" s="23" t="n">
        <f aca="false">J13+G14</f>
        <v>1146205.61228083</v>
      </c>
    </row>
    <row r="15" customFormat="false" ht="15" hidden="false" customHeight="false" outlineLevel="0" collapsed="false">
      <c r="A15" s="2" t="s">
        <v>98</v>
      </c>
      <c r="B15" s="6" t="n">
        <f aca="false">$B$2*SUM(INDEX(Когорта!$C$7:$C$371,301):INDEX(Когорта!$C$7:$C$371,330))/30</f>
        <v>8302.56296833794</v>
      </c>
      <c r="C15" s="6" t="n">
        <f aca="false">$B$2*SUM(INDEX(Когорта!$D$7:$D$371,301):INDEX(Когорта!$D$7:$D$371,330))</f>
        <v>299.999999999998</v>
      </c>
      <c r="D15" s="6" t="n">
        <f aca="false">$B$2*SUM(INDEX(Когорта!$P$7:$P$371,301):INDEX(Когорта!$P$7:$P$371,330))/30</f>
        <v>155.926436293536</v>
      </c>
      <c r="E15" s="23" t="n">
        <f aca="false">$B$2*SUM(INDEX(Когорта!$L$7:$L$371,301):INDEX(Когорта!$L$7:$L$371,330))</f>
        <v>122544.067443795</v>
      </c>
      <c r="F15" s="23" t="n">
        <f aca="false">$B$2*(SUM(INDEX(Когорта!$M$7:$M$371,301):INDEX(Когорта!$M$7:$M$371,330))+SUM(INDEX(Когорта!$N$7:$N$371,301):INDEX(Когорта!$N$7:$N$371,330)))</f>
        <v>25354.0756762147</v>
      </c>
      <c r="G15" s="24" t="n">
        <f aca="false">E15+F15</f>
        <v>147898.14312001</v>
      </c>
      <c r="H15" s="23" t="n">
        <f aca="false">$B$2*SUM(INDEX(Когорта!$O$7:$O$371,301):INDEX(Когорта!$O$7:$O$371,330))</f>
        <v>295796.28624002</v>
      </c>
      <c r="I15" s="19" t="n">
        <f aca="false">IF(B15=0,0,G15/(B15*30))</f>
        <v>0.593785090555867</v>
      </c>
      <c r="J15" s="23" t="n">
        <f aca="false">J14+G15</f>
        <v>1294103.75540084</v>
      </c>
    </row>
    <row r="16" customFormat="false" ht="15" hidden="false" customHeight="false" outlineLevel="0" collapsed="false">
      <c r="A16" s="2" t="s">
        <v>99</v>
      </c>
      <c r="B16" s="6" t="n">
        <f aca="false">$B$2*SUM(INDEX(Когорта!$C$7:$C$371,331):INDEX(Когорта!$C$7:$C$371,360))/30</f>
        <v>8472.83260849317</v>
      </c>
      <c r="C16" s="6" t="n">
        <f aca="false">$B$2*SUM(INDEX(Когорта!$D$7:$D$371,331):INDEX(Когорта!$D$7:$D$371,360))</f>
        <v>300</v>
      </c>
      <c r="D16" s="6" t="n">
        <f aca="false">$B$2*SUM(INDEX(Когорта!$P$7:$P$371,331):INDEX(Когорта!$P$7:$P$371,360))/30</f>
        <v>160.183177297417</v>
      </c>
      <c r="E16" s="23" t="n">
        <f aca="false">$B$2*SUM(INDEX(Когорта!$L$7:$L$371,331):INDEX(Когорта!$L$7:$L$371,360))</f>
        <v>125056.353416875</v>
      </c>
      <c r="F16" s="23" t="n">
        <f aca="false">$B$2*(SUM(INDEX(Когорта!$M$7:$M$371,331):INDEX(Когорта!$M$7:$M$371,360))+SUM(INDEX(Когорта!$N$7:$N$371,331):INDEX(Когорта!$N$7:$N$371,360)))</f>
        <v>25663.355757985</v>
      </c>
      <c r="G16" s="24" t="n">
        <f aca="false">E16+F16</f>
        <v>150719.70917486</v>
      </c>
      <c r="H16" s="23" t="n">
        <f aca="false">$B$2*SUM(INDEX(Когорта!$O$7:$O$371,331):INDEX(Когорта!$O$7:$O$371,360))</f>
        <v>301439.418349721</v>
      </c>
      <c r="I16" s="19" t="n">
        <f aca="false">IF(B16=0,0,G16/(B16*30))</f>
        <v>0.592952857441399</v>
      </c>
      <c r="J16" s="23" t="n">
        <f aca="false">J15+G16</f>
        <v>1444823.4645757</v>
      </c>
    </row>
    <row r="17" customFormat="false" ht="15" hidden="false" customHeight="false" outlineLevel="0" collapsed="false">
      <c r="A17" s="3" t="s">
        <v>100</v>
      </c>
      <c r="C17" s="25" t="n">
        <f aca="false">SUM(C5:C16)</f>
        <v>3509.6534422907</v>
      </c>
      <c r="E17" s="24" t="n">
        <f aca="false">SUM(E5:E16)</f>
        <v>1180130.09646571</v>
      </c>
      <c r="F17" s="24" t="n">
        <f aca="false">SUM(F5:F16)</f>
        <v>264693.368109989</v>
      </c>
      <c r="G17" s="24" t="n">
        <f aca="false">SUM(G5:G16)</f>
        <v>1444823.4645757</v>
      </c>
      <c r="H17" s="24" t="n">
        <f aca="false">SUM(H5:H16)</f>
        <v>2889646.92915139</v>
      </c>
    </row>
    <row r="19" customFormat="false" ht="17.35" hidden="false" customHeight="false" outlineLevel="0" collapsed="false">
      <c r="A19" s="1" t="s">
        <v>101</v>
      </c>
    </row>
    <row r="20" customFormat="false" ht="31.5" hidden="false" customHeight="true" outlineLevel="0" collapsed="false">
      <c r="A20" s="5" t="s">
        <v>102</v>
      </c>
      <c r="B20" s="5" t="s">
        <v>103</v>
      </c>
      <c r="C20" s="5"/>
      <c r="D20" s="5"/>
      <c r="E20" s="5"/>
      <c r="F20" s="5"/>
      <c r="G20" s="5"/>
      <c r="H20" s="5"/>
      <c r="I20" s="5"/>
      <c r="J20" s="5"/>
    </row>
    <row r="21" customFormat="false" ht="15" hidden="false" customHeight="false" outlineLevel="0" collapsed="false">
      <c r="A21" s="8" t="s">
        <v>104</v>
      </c>
      <c r="B21" s="26" t="n">
        <f aca="false">INDEX(Когорта!$K$7:$K$371,8)</f>
        <v>1.39820004943867</v>
      </c>
    </row>
    <row r="22" customFormat="false" ht="15" hidden="false" customHeight="false" outlineLevel="0" collapsed="false">
      <c r="A22" s="8" t="s">
        <v>105</v>
      </c>
      <c r="B22" s="26" t="n">
        <f aca="false">INDEX(Когорта!$K$7:$K$371,31)</f>
        <v>2.46069456510829</v>
      </c>
    </row>
    <row r="23" customFormat="false" ht="15" hidden="false" customHeight="false" outlineLevel="0" collapsed="false">
      <c r="A23" s="8" t="s">
        <v>106</v>
      </c>
      <c r="B23" s="26" t="n">
        <f aca="false">INDEX(Когорта!$K$7:$K$371,91)</f>
        <v>3.51933717390274</v>
      </c>
    </row>
    <row r="24" customFormat="false" ht="15" hidden="false" customHeight="false" outlineLevel="0" collapsed="false">
      <c r="A24" s="8" t="s">
        <v>107</v>
      </c>
      <c r="B24" s="26" t="n">
        <f aca="false">INDEX(Когорта!$K$7:$K$371,365)</f>
        <v>5.08019813381363</v>
      </c>
    </row>
    <row r="25" customFormat="false" ht="15" hidden="false" customHeight="false" outlineLevel="0" collapsed="false">
      <c r="A25" s="8" t="s">
        <v>108</v>
      </c>
      <c r="B25" s="27" t="n">
        <f aca="false">IF(B24=0,0,(INDEX(Когорта!$M$7:$M$371,365)+INDEX(Когорта!$N$7:$N$371,365))/B24)</f>
        <v>0.16960092365331</v>
      </c>
    </row>
    <row r="26" customFormat="false" ht="15" hidden="false" customHeight="false" outlineLevel="0" collapsed="false">
      <c r="A26" s="8" t="s">
        <v>109</v>
      </c>
      <c r="B26" s="27" t="n">
        <f aca="false">1-B25</f>
        <v>0.83039907634669</v>
      </c>
    </row>
    <row r="27" customFormat="false" ht="15" hidden="false" customHeight="false" outlineLevel="0" collapsed="false">
      <c r="A27" s="8" t="s">
        <v>110</v>
      </c>
      <c r="B27" s="25" t="n">
        <f aca="false">B16</f>
        <v>8472.83260849317</v>
      </c>
    </row>
    <row r="28" customFormat="false" ht="15" hidden="false" customHeight="false" outlineLevel="0" collapsed="false">
      <c r="A28" s="8" t="s">
        <v>111</v>
      </c>
      <c r="B28" s="26" t="n">
        <f aca="false">IF(SUMPRODUCT(B5:B16)=0,0,G17/(SUMPRODUCT(B5:B16)*30))</f>
        <v>0.602391082308401</v>
      </c>
    </row>
    <row r="29" customFormat="false" ht="15" hidden="false" customHeight="false" outlineLevel="0" collapsed="false">
      <c r="A29" s="8" t="s">
        <v>112</v>
      </c>
      <c r="B29" s="24" t="n">
        <f aca="false">G17</f>
        <v>1444823.4645757</v>
      </c>
    </row>
    <row r="30" customFormat="false" ht="15" hidden="false" customHeight="false" outlineLevel="0" collapsed="false">
      <c r="A30" s="8" t="s">
        <v>113</v>
      </c>
      <c r="B30" s="24" t="n">
        <f aca="false">G16</f>
        <v>150719.70917486</v>
      </c>
    </row>
    <row r="31" customFormat="false" ht="26.85" hidden="false" customHeight="false" outlineLevel="0" collapsed="false">
      <c r="A31" s="8" t="s">
        <v>114</v>
      </c>
      <c r="B31" s="26" t="n">
        <f aca="false">B23</f>
        <v>3.51933717390274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3" t="s">
        <v>116</v>
      </c>
    </row>
    <row r="3" customFormat="false" ht="15" hidden="false" customHeight="false" outlineLevel="0" collapsed="false">
      <c r="A3" s="2" t="s">
        <v>117</v>
      </c>
    </row>
    <row r="5" customFormat="false" ht="31.5" hidden="false" customHeight="true" outlineLevel="0" collapsed="false">
      <c r="A5" s="5" t="s">
        <v>118</v>
      </c>
      <c r="B5" s="5" t="s">
        <v>119</v>
      </c>
      <c r="C5" s="5" t="s">
        <v>120</v>
      </c>
      <c r="D5" s="5" t="s">
        <v>121</v>
      </c>
      <c r="E5" s="5" t="s">
        <v>122</v>
      </c>
      <c r="F5" s="5" t="s">
        <v>123</v>
      </c>
      <c r="G5" s="5" t="s">
        <v>124</v>
      </c>
    </row>
    <row r="6" customFormat="false" ht="48" hidden="false" customHeight="true" outlineLevel="0" collapsed="false">
      <c r="A6" s="28" t="s">
        <v>125</v>
      </c>
      <c r="B6" s="29" t="n">
        <v>1</v>
      </c>
      <c r="C6" s="29" t="n">
        <v>1</v>
      </c>
      <c r="D6" s="29" t="n">
        <v>1</v>
      </c>
      <c r="E6" s="26" t="n">
        <f aca="false">$B$14*B6+$B$15*C6+$B$16*D6</f>
        <v>5.08019813381364</v>
      </c>
      <c r="F6" s="9" t="n">
        <f aca="false">IF($E$6=0,0,E6/$E$6-1)</f>
        <v>0</v>
      </c>
      <c r="G6" s="8" t="s">
        <v>126</v>
      </c>
    </row>
    <row r="7" customFormat="false" ht="48" hidden="false" customHeight="true" outlineLevel="0" collapsed="false">
      <c r="A7" s="8" t="s">
        <v>127</v>
      </c>
      <c r="B7" s="29" t="n">
        <v>1</v>
      </c>
      <c r="C7" s="29" t="n">
        <v>1</v>
      </c>
      <c r="D7" s="29" t="n">
        <v>0.8</v>
      </c>
      <c r="E7" s="26" t="n">
        <f aca="false">$B$14*B7+$B$15*C7+$B$16*D7</f>
        <v>5.00137687464632</v>
      </c>
      <c r="F7" s="9" t="n">
        <f aca="false">IF($E$6=0,0,E7/$E$6-1)</f>
        <v>-0.0155153907566505</v>
      </c>
      <c r="G7" s="8" t="s">
        <v>128</v>
      </c>
    </row>
    <row r="8" customFormat="false" ht="48" hidden="false" customHeight="true" outlineLevel="0" collapsed="false">
      <c r="A8" s="8" t="s">
        <v>129</v>
      </c>
      <c r="B8" s="29" t="n">
        <v>1</v>
      </c>
      <c r="C8" s="29" t="n">
        <v>0.9</v>
      </c>
      <c r="D8" s="29" t="n">
        <v>1.05</v>
      </c>
      <c r="E8" s="26" t="n">
        <f aca="false">$B$14*B8+$B$15*C8+$B$16*D8</f>
        <v>5.05315344860548</v>
      </c>
      <c r="F8" s="9" t="n">
        <f aca="false">IF($E$6=0,0,E8/$E$6-1)</f>
        <v>-0.00532354929784318</v>
      </c>
      <c r="G8" s="8" t="s">
        <v>130</v>
      </c>
    </row>
    <row r="9" customFormat="false" ht="48" hidden="false" customHeight="true" outlineLevel="0" collapsed="false">
      <c r="A9" s="8" t="s">
        <v>131</v>
      </c>
      <c r="B9" s="29" t="n">
        <v>1</v>
      </c>
      <c r="C9" s="29" t="n">
        <v>0.5</v>
      </c>
      <c r="D9" s="29" t="n">
        <v>0.4</v>
      </c>
      <c r="E9" s="26" t="n">
        <f aca="false">$B$14*B9+$B$15*C9+$B$16*D9</f>
        <v>4.60998435631167</v>
      </c>
      <c r="F9" s="9" t="n">
        <f aca="false">IF($E$6=0,0,E9/$E$6-1)</f>
        <v>-0.0925581572049804</v>
      </c>
      <c r="G9" s="8" t="s">
        <v>132</v>
      </c>
    </row>
    <row r="13" customFormat="false" ht="15" hidden="false" customHeight="false" outlineLevel="0" collapsed="false">
      <c r="A13" s="3" t="s">
        <v>133</v>
      </c>
    </row>
    <row r="14" customFormat="false" ht="15" hidden="false" customHeight="false" outlineLevel="0" collapsed="false">
      <c r="A14" s="2" t="s">
        <v>134</v>
      </c>
      <c r="B14" s="30" t="n">
        <f aca="false">INDEX(Когорта!$L$7:$L$371,365)</f>
        <v>4.21859183797703</v>
      </c>
    </row>
    <row r="15" customFormat="false" ht="15" hidden="false" customHeight="false" outlineLevel="0" collapsed="false">
      <c r="A15" s="2" t="s">
        <v>135</v>
      </c>
      <c r="B15" s="30" t="n">
        <f aca="false">INDEX(Когорта!$M$7:$M$371,365)</f>
        <v>0.467499999999986</v>
      </c>
    </row>
    <row r="16" customFormat="false" ht="15" hidden="false" customHeight="false" outlineLevel="0" collapsed="false">
      <c r="A16" s="2" t="s">
        <v>136</v>
      </c>
      <c r="B16" s="30" t="n">
        <f aca="false">INDEX(Когорта!$N$7:$N$371,365)</f>
        <v>0.39410629583663</v>
      </c>
    </row>
    <row r="18" customFormat="false" ht="15" hidden="false" customHeight="false" outlineLevel="0" collapsed="false">
      <c r="A18" s="3" t="s">
        <v>137</v>
      </c>
    </row>
    <row r="19" customFormat="false" ht="15" hidden="false" customHeight="false" outlineLevel="0" collapsed="false">
      <c r="A19" s="2" t="str">
        <f aca="false">A6</f>
        <v>C. Узкие алмазы (рекомендую)</v>
      </c>
      <c r="B19" s="23" t="n">
        <f aca="false">Год!$G$17*E6/$E$6</f>
        <v>1444823.4645757</v>
      </c>
    </row>
    <row r="20" customFormat="false" ht="15" hidden="false" customHeight="false" outlineLevel="0" collapsed="false">
      <c r="A20" s="2" t="str">
        <f aca="false">A7</f>
        <v>A. Всё за рубли, алмазов нет</v>
      </c>
      <c r="B20" s="23" t="n">
        <f aca="false">Год!$G$17*E7/$E$6</f>
        <v>1422406.46394843</v>
      </c>
    </row>
    <row r="21" customFormat="false" ht="15" hidden="false" customHeight="false" outlineLevel="0" collapsed="false">
      <c r="A21" s="2" t="str">
        <f aca="false">A8</f>
        <v>B. Универсальные алмазы (₽ → 💎 → всё, как в v5)</v>
      </c>
      <c r="B21" s="23" t="n">
        <f aca="false">Год!$G$17*E8/$E$6</f>
        <v>1437131.87563535</v>
      </c>
    </row>
    <row r="22" customFormat="false" ht="15" hidden="false" customHeight="false" outlineLevel="0" collapsed="false">
      <c r="A22" s="2" t="str">
        <f aca="false">A9</f>
        <v>D. Как сейчас (билд 24)</v>
      </c>
      <c r="B22" s="23" t="n">
        <f aca="false">Год!$G$17*E9/$E$6</f>
        <v>1311093.26720805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4" min="3" style="0" width="11"/>
    <col collapsed="false" customWidth="true" hidden="false" outlineLevel="0" max="5" min="5" style="0" width="10"/>
    <col collapsed="false" customWidth="true" hidden="false" outlineLevel="0" max="6" min="6" style="0" width="46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11" min="9" style="0" width="11"/>
    <col collapsed="false" customWidth="true" hidden="false" outlineLevel="0" max="12" min="12" style="0" width="44"/>
  </cols>
  <sheetData>
    <row r="1" customFormat="false" ht="17.35" hidden="false" customHeight="false" outlineLevel="0" collapsed="false">
      <c r="A1" s="1" t="s">
        <v>138</v>
      </c>
    </row>
    <row r="2" customFormat="false" ht="15" hidden="false" customHeight="false" outlineLevel="0" collapsed="false">
      <c r="A2" s="2" t="s">
        <v>139</v>
      </c>
    </row>
    <row r="4" customFormat="false" ht="31.5" hidden="false" customHeight="true" outlineLevel="0" collapsed="false">
      <c r="A4" s="5" t="s">
        <v>140</v>
      </c>
      <c r="B4" s="5" t="s">
        <v>141</v>
      </c>
      <c r="C4" s="5" t="s">
        <v>142</v>
      </c>
      <c r="D4" s="5" t="s">
        <v>143</v>
      </c>
      <c r="E4" s="5" t="s">
        <v>144</v>
      </c>
      <c r="F4" s="5" t="s">
        <v>145</v>
      </c>
      <c r="G4" s="5" t="s">
        <v>146</v>
      </c>
      <c r="H4" s="5" t="s">
        <v>147</v>
      </c>
      <c r="I4" s="5" t="s">
        <v>148</v>
      </c>
      <c r="J4" s="5" t="s">
        <v>149</v>
      </c>
      <c r="K4" s="5" t="s">
        <v>150</v>
      </c>
      <c r="L4" s="5" t="s">
        <v>151</v>
      </c>
    </row>
    <row r="5" customFormat="false" ht="26.85" hidden="false" customHeight="false" outlineLevel="0" collapsed="false">
      <c r="A5" s="2" t="s">
        <v>152</v>
      </c>
      <c r="B5" s="2" t="s">
        <v>153</v>
      </c>
      <c r="C5" s="31" t="n">
        <v>49</v>
      </c>
      <c r="D5" s="32" t="n">
        <v>1000</v>
      </c>
      <c r="E5" s="32" t="n">
        <v>0</v>
      </c>
      <c r="F5" s="8" t="s">
        <v>154</v>
      </c>
      <c r="G5" s="31" t="n">
        <v>0</v>
      </c>
      <c r="H5" s="23" t="n">
        <f aca="false">D5/Допущения!$B$30+E5/Допущения!$B$31+G5</f>
        <v>49</v>
      </c>
      <c r="I5" s="9" t="n">
        <f aca="false">IF(C5=0,0,H5/C5-1)</f>
        <v>0</v>
      </c>
      <c r="J5" s="11" t="n">
        <v>0.25</v>
      </c>
      <c r="K5" s="11" t="n">
        <v>0.25</v>
      </c>
      <c r="L5" s="8" t="s">
        <v>155</v>
      </c>
    </row>
    <row r="6" customFormat="false" ht="26.85" hidden="false" customHeight="false" outlineLevel="0" collapsed="false">
      <c r="A6" s="2" t="s">
        <v>156</v>
      </c>
      <c r="B6" s="2" t="s">
        <v>157</v>
      </c>
      <c r="C6" s="31" t="n">
        <v>129</v>
      </c>
      <c r="D6" s="32" t="n">
        <v>3000</v>
      </c>
      <c r="E6" s="32" t="n">
        <v>0</v>
      </c>
      <c r="F6" s="8" t="s">
        <v>154</v>
      </c>
      <c r="G6" s="31" t="n">
        <v>0</v>
      </c>
      <c r="H6" s="23" t="n">
        <f aca="false">D6/Допущения!$B$30+E6/Допущения!$B$31+G6</f>
        <v>147</v>
      </c>
      <c r="I6" s="9" t="n">
        <f aca="false">IF(C6=0,0,H6/C6-1)</f>
        <v>0.13953488372093</v>
      </c>
      <c r="J6" s="11" t="n">
        <v>0</v>
      </c>
      <c r="K6" s="11" t="n">
        <v>0.12</v>
      </c>
      <c r="L6" s="8" t="s">
        <v>158</v>
      </c>
    </row>
    <row r="7" customFormat="false" ht="15" hidden="false" customHeight="false" outlineLevel="0" collapsed="false">
      <c r="A7" s="2" t="s">
        <v>159</v>
      </c>
      <c r="B7" s="2" t="s">
        <v>160</v>
      </c>
      <c r="C7" s="31" t="n">
        <v>299</v>
      </c>
      <c r="D7" s="32" t="n">
        <v>8000</v>
      </c>
      <c r="E7" s="32" t="n">
        <v>0</v>
      </c>
      <c r="F7" s="8" t="s">
        <v>154</v>
      </c>
      <c r="G7" s="31" t="n">
        <v>0</v>
      </c>
      <c r="H7" s="23" t="n">
        <f aca="false">D7/Допущения!$B$30+E7/Допущения!$B$31+G7</f>
        <v>392</v>
      </c>
      <c r="I7" s="9" t="n">
        <f aca="false">IF(C7=0,0,H7/C7-1)</f>
        <v>0.311036789297659</v>
      </c>
      <c r="J7" s="11" t="n">
        <v>0</v>
      </c>
      <c r="K7" s="11" t="n">
        <v>0.04</v>
      </c>
      <c r="L7" s="8" t="s">
        <v>161</v>
      </c>
    </row>
    <row r="8" customFormat="false" ht="15" hidden="false" customHeight="false" outlineLevel="0" collapsed="false">
      <c r="A8" s="2" t="s">
        <v>162</v>
      </c>
      <c r="B8" s="2" t="s">
        <v>163</v>
      </c>
      <c r="C8" s="31" t="n">
        <v>599</v>
      </c>
      <c r="D8" s="32" t="n">
        <v>18000</v>
      </c>
      <c r="E8" s="32" t="n">
        <v>0</v>
      </c>
      <c r="F8" s="8" t="s">
        <v>154</v>
      </c>
      <c r="G8" s="31" t="n">
        <v>0</v>
      </c>
      <c r="H8" s="23" t="n">
        <f aca="false">D8/Допущения!$B$30+E8/Допущения!$B$31+G8</f>
        <v>882</v>
      </c>
      <c r="I8" s="9" t="n">
        <f aca="false">IF(C8=0,0,H8/C8-1)</f>
        <v>0.472454090150251</v>
      </c>
      <c r="J8" s="11" t="n">
        <v>0</v>
      </c>
      <c r="K8" s="11" t="n">
        <v>0.01</v>
      </c>
      <c r="L8" s="8" t="s">
        <v>161</v>
      </c>
    </row>
    <row r="9" customFormat="false" ht="15" hidden="false" customHeight="false" outlineLevel="0" collapsed="false">
      <c r="A9" s="2" t="s">
        <v>164</v>
      </c>
      <c r="B9" s="2" t="s">
        <v>165</v>
      </c>
      <c r="C9" s="31" t="n">
        <v>29</v>
      </c>
      <c r="D9" s="32" t="n">
        <v>0</v>
      </c>
      <c r="E9" s="32" t="n">
        <v>30</v>
      </c>
      <c r="F9" s="8" t="s">
        <v>154</v>
      </c>
      <c r="G9" s="31" t="n">
        <v>0</v>
      </c>
      <c r="H9" s="23" t="n">
        <f aca="false">D9/Допущения!$B$30+E9/Допущения!$B$31+G9</f>
        <v>29</v>
      </c>
      <c r="I9" s="9" t="n">
        <f aca="false">IF(C9=0,0,H9/C9-1)</f>
        <v>0</v>
      </c>
      <c r="J9" s="11" t="n">
        <v>0.06</v>
      </c>
      <c r="K9" s="11" t="n">
        <v>0.03</v>
      </c>
      <c r="L9" s="8" t="s">
        <v>166</v>
      </c>
    </row>
    <row r="10" customFormat="false" ht="15" hidden="false" customHeight="false" outlineLevel="0" collapsed="false">
      <c r="A10" s="2" t="s">
        <v>167</v>
      </c>
      <c r="B10" s="2" t="s">
        <v>168</v>
      </c>
      <c r="C10" s="31" t="n">
        <v>79</v>
      </c>
      <c r="D10" s="32" t="n">
        <v>0</v>
      </c>
      <c r="E10" s="32" t="n">
        <v>90</v>
      </c>
      <c r="F10" s="8" t="s">
        <v>169</v>
      </c>
      <c r="G10" s="31" t="n">
        <v>0</v>
      </c>
      <c r="H10" s="23" t="n">
        <f aca="false">D10/Допущения!$B$30+E10/Допущения!$B$31+G10</f>
        <v>87</v>
      </c>
      <c r="I10" s="9" t="n">
        <f aca="false">IF(C10=0,0,H10/C10-1)</f>
        <v>0.10126582278481</v>
      </c>
      <c r="J10" s="11" t="n">
        <v>0.04</v>
      </c>
      <c r="K10" s="11" t="n">
        <v>0.08</v>
      </c>
      <c r="L10" s="8" t="s">
        <v>170</v>
      </c>
    </row>
    <row r="11" customFormat="false" ht="15" hidden="false" customHeight="false" outlineLevel="0" collapsed="false">
      <c r="A11" s="2" t="s">
        <v>171</v>
      </c>
      <c r="B11" s="2" t="s">
        <v>172</v>
      </c>
      <c r="C11" s="31" t="n">
        <v>149</v>
      </c>
      <c r="D11" s="32" t="n">
        <v>0</v>
      </c>
      <c r="E11" s="32" t="n">
        <v>180</v>
      </c>
      <c r="F11" s="8" t="s">
        <v>173</v>
      </c>
      <c r="G11" s="31" t="n">
        <v>0</v>
      </c>
      <c r="H11" s="23" t="n">
        <f aca="false">D11/Допущения!$B$30+E11/Допущения!$B$31+G11</f>
        <v>174</v>
      </c>
      <c r="I11" s="9" t="n">
        <f aca="false">IF(C11=0,0,H11/C11-1)</f>
        <v>0.167785234899329</v>
      </c>
      <c r="J11" s="11" t="n">
        <v>0</v>
      </c>
      <c r="K11" s="11" t="n">
        <v>0.07</v>
      </c>
      <c r="L11" s="8" t="s">
        <v>170</v>
      </c>
    </row>
    <row r="12" customFormat="false" ht="15" hidden="false" customHeight="false" outlineLevel="0" collapsed="false">
      <c r="A12" s="2" t="s">
        <v>174</v>
      </c>
      <c r="B12" s="2" t="s">
        <v>175</v>
      </c>
      <c r="C12" s="31" t="n">
        <v>299</v>
      </c>
      <c r="D12" s="32" t="n">
        <v>0</v>
      </c>
      <c r="E12" s="32" t="n">
        <v>400</v>
      </c>
      <c r="F12" s="8" t="s">
        <v>176</v>
      </c>
      <c r="G12" s="31" t="n">
        <v>0</v>
      </c>
      <c r="H12" s="23" t="n">
        <f aca="false">D12/Допущения!$B$30+E12/Допущения!$B$31+G12</f>
        <v>386.666666666667</v>
      </c>
      <c r="I12" s="9" t="n">
        <f aca="false">IF(C12=0,0,H12/C12-1)</f>
        <v>0.293199554069119</v>
      </c>
      <c r="J12" s="11" t="n">
        <v>0</v>
      </c>
      <c r="K12" s="11" t="n">
        <v>0.04</v>
      </c>
      <c r="L12" s="8" t="s">
        <v>170</v>
      </c>
    </row>
    <row r="13" customFormat="false" ht="15" hidden="false" customHeight="false" outlineLevel="0" collapsed="false">
      <c r="A13" s="2" t="s">
        <v>177</v>
      </c>
      <c r="B13" s="2" t="s">
        <v>178</v>
      </c>
      <c r="C13" s="31" t="n">
        <v>599</v>
      </c>
      <c r="D13" s="32" t="n">
        <v>0</v>
      </c>
      <c r="E13" s="32" t="n">
        <v>850</v>
      </c>
      <c r="F13" s="8" t="s">
        <v>179</v>
      </c>
      <c r="G13" s="31" t="n">
        <v>0</v>
      </c>
      <c r="H13" s="23" t="n">
        <f aca="false">D13/Допущения!$B$30+E13/Допущения!$B$31+G13</f>
        <v>821.666666666667</v>
      </c>
      <c r="I13" s="9" t="n">
        <f aca="false">IF(C13=0,0,H13/C13-1)</f>
        <v>0.371730662214802</v>
      </c>
      <c r="J13" s="11" t="n">
        <v>0</v>
      </c>
      <c r="K13" s="11" t="n">
        <v>0.01</v>
      </c>
      <c r="L13" s="8" t="s">
        <v>170</v>
      </c>
    </row>
    <row r="14" customFormat="false" ht="15" hidden="false" customHeight="false" outlineLevel="0" collapsed="false">
      <c r="A14" s="2" t="s">
        <v>180</v>
      </c>
      <c r="B14" s="2" t="s">
        <v>181</v>
      </c>
      <c r="C14" s="31" t="n">
        <v>1190</v>
      </c>
      <c r="D14" s="32" t="n">
        <v>0</v>
      </c>
      <c r="E14" s="32" t="n">
        <v>1800</v>
      </c>
      <c r="F14" s="8" t="s">
        <v>182</v>
      </c>
      <c r="G14" s="31" t="n">
        <v>0</v>
      </c>
      <c r="H14" s="23" t="n">
        <f aca="false">D14/Допущения!$B$30+E14/Допущения!$B$31+G14</f>
        <v>1740</v>
      </c>
      <c r="I14" s="9" t="n">
        <f aca="false">IF(C14=0,0,H14/C14-1)</f>
        <v>0.46218487394958</v>
      </c>
      <c r="J14" s="11" t="n">
        <v>0</v>
      </c>
      <c r="K14" s="11" t="n">
        <v>0.005</v>
      </c>
      <c r="L14" s="8" t="s">
        <v>170</v>
      </c>
    </row>
    <row r="15" customFormat="false" ht="15" hidden="false" customHeight="false" outlineLevel="0" collapsed="false">
      <c r="A15" s="2" t="s">
        <v>183</v>
      </c>
      <c r="B15" s="2" t="s">
        <v>184</v>
      </c>
      <c r="C15" s="31" t="n">
        <v>99</v>
      </c>
      <c r="D15" s="32" t="n">
        <v>800</v>
      </c>
      <c r="E15" s="32" t="n">
        <v>50</v>
      </c>
      <c r="F15" s="8" t="s">
        <v>185</v>
      </c>
      <c r="G15" s="31" t="n">
        <v>270</v>
      </c>
      <c r="H15" s="23" t="n">
        <f aca="false">D15/Допущения!$B$30+E15/Допущения!$B$31+G15</f>
        <v>357.533333333333</v>
      </c>
      <c r="I15" s="9" t="n">
        <f aca="false">IF(C15=0,0,H15/C15-1)</f>
        <v>2.61144781144781</v>
      </c>
      <c r="J15" s="11" t="n">
        <v>0.4</v>
      </c>
      <c r="K15" s="11" t="n">
        <v>0</v>
      </c>
      <c r="L15" s="8" t="s">
        <v>186</v>
      </c>
    </row>
    <row r="16" customFormat="false" ht="26.85" hidden="false" customHeight="false" outlineLevel="0" collapsed="false">
      <c r="A16" s="2" t="s">
        <v>187</v>
      </c>
      <c r="B16" s="2" t="s">
        <v>188</v>
      </c>
      <c r="C16" s="31" t="n">
        <v>99</v>
      </c>
      <c r="D16" s="32" t="n">
        <v>2500</v>
      </c>
      <c r="E16" s="32" t="n">
        <v>0</v>
      </c>
      <c r="F16" s="8" t="s">
        <v>189</v>
      </c>
      <c r="G16" s="31" t="n">
        <v>0</v>
      </c>
      <c r="H16" s="23" t="n">
        <f aca="false">D16/Допущения!$B$30+E16/Допущения!$B$31+G16</f>
        <v>122.5</v>
      </c>
      <c r="I16" s="9" t="n">
        <f aca="false">IF(C16=0,0,H16/C16-1)</f>
        <v>0.237373737373737</v>
      </c>
      <c r="J16" s="11" t="n">
        <v>0.1</v>
      </c>
      <c r="K16" s="11" t="n">
        <v>0.12</v>
      </c>
      <c r="L16" s="8" t="s">
        <v>190</v>
      </c>
    </row>
    <row r="17" customFormat="false" ht="15" hidden="false" customHeight="false" outlineLevel="0" collapsed="false">
      <c r="A17" s="2" t="s">
        <v>191</v>
      </c>
      <c r="B17" s="2" t="s">
        <v>192</v>
      </c>
      <c r="C17" s="31" t="n">
        <v>199</v>
      </c>
      <c r="D17" s="32" t="n">
        <v>0</v>
      </c>
      <c r="E17" s="32" t="n">
        <v>100</v>
      </c>
      <c r="F17" s="8" t="s">
        <v>193</v>
      </c>
      <c r="G17" s="31" t="n">
        <v>150</v>
      </c>
      <c r="H17" s="23" t="n">
        <f aca="false">D17/Допущения!$B$30+E17/Допущения!$B$31+G17</f>
        <v>246.666666666667</v>
      </c>
      <c r="I17" s="9" t="n">
        <f aca="false">IF(C17=0,0,H17/C17-1)</f>
        <v>0.239530988274707</v>
      </c>
      <c r="J17" s="11" t="n">
        <v>0.07</v>
      </c>
      <c r="K17" s="11" t="n">
        <v>0.02</v>
      </c>
      <c r="L17" s="8" t="s">
        <v>194</v>
      </c>
    </row>
    <row r="18" customFormat="false" ht="15" hidden="false" customHeight="false" outlineLevel="0" collapsed="false">
      <c r="A18" s="2" t="s">
        <v>195</v>
      </c>
      <c r="B18" s="2" t="s">
        <v>196</v>
      </c>
      <c r="C18" s="31" t="n">
        <v>79</v>
      </c>
      <c r="D18" s="32" t="n">
        <v>0</v>
      </c>
      <c r="E18" s="32" t="n">
        <v>0</v>
      </c>
      <c r="F18" s="8" t="s">
        <v>197</v>
      </c>
      <c r="G18" s="31" t="n">
        <v>112</v>
      </c>
      <c r="H18" s="23" t="n">
        <f aca="false">D18/Допущения!$B$30+E18/Допущения!$B$31+G18</f>
        <v>112</v>
      </c>
      <c r="I18" s="9" t="n">
        <f aca="false">IF(C18=0,0,H18/C18-1)</f>
        <v>0.417721518987342</v>
      </c>
      <c r="J18" s="11" t="n">
        <v>0.05</v>
      </c>
      <c r="K18" s="11" t="n">
        <v>0.04</v>
      </c>
      <c r="L18" s="8" t="s">
        <v>198</v>
      </c>
    </row>
    <row r="19" customFormat="false" ht="15" hidden="false" customHeight="false" outlineLevel="0" collapsed="false">
      <c r="A19" s="2" t="s">
        <v>199</v>
      </c>
      <c r="B19" s="2" t="s">
        <v>200</v>
      </c>
      <c r="C19" s="31" t="n">
        <v>149</v>
      </c>
      <c r="D19" s="32" t="n">
        <v>0</v>
      </c>
      <c r="E19" s="32" t="n">
        <v>60</v>
      </c>
      <c r="F19" s="8" t="s">
        <v>201</v>
      </c>
      <c r="G19" s="31" t="n">
        <v>175</v>
      </c>
      <c r="H19" s="23" t="n">
        <f aca="false">D19/Допущения!$B$30+E19/Допущения!$B$31+G19</f>
        <v>233</v>
      </c>
      <c r="I19" s="9" t="n">
        <f aca="false">IF(C19=0,0,H19/C19-1)</f>
        <v>0.563758389261745</v>
      </c>
      <c r="J19" s="11" t="n">
        <v>0</v>
      </c>
      <c r="K19" s="11" t="n">
        <v>0.06</v>
      </c>
      <c r="L19" s="8" t="s">
        <v>202</v>
      </c>
    </row>
    <row r="20" customFormat="false" ht="15" hidden="false" customHeight="false" outlineLevel="0" collapsed="false">
      <c r="A20" s="2" t="s">
        <v>203</v>
      </c>
      <c r="B20" s="2" t="s">
        <v>204</v>
      </c>
      <c r="C20" s="31" t="n">
        <v>199</v>
      </c>
      <c r="D20" s="32" t="n">
        <v>5000</v>
      </c>
      <c r="E20" s="32" t="n">
        <v>0</v>
      </c>
      <c r="F20" s="8" t="s">
        <v>205</v>
      </c>
      <c r="G20" s="31" t="n">
        <v>88</v>
      </c>
      <c r="H20" s="23" t="n">
        <f aca="false">D20/Допущения!$B$30+E20/Допущения!$B$31+G20</f>
        <v>333</v>
      </c>
      <c r="I20" s="9" t="n">
        <f aca="false">IF(C20=0,0,H20/C20-1)</f>
        <v>0.673366834170854</v>
      </c>
      <c r="J20" s="11" t="n">
        <v>0</v>
      </c>
      <c r="K20" s="11" t="n">
        <v>0.06</v>
      </c>
      <c r="L20" s="8" t="s">
        <v>206</v>
      </c>
    </row>
    <row r="21" customFormat="false" ht="15" hidden="false" customHeight="false" outlineLevel="0" collapsed="false">
      <c r="A21" s="2" t="s">
        <v>207</v>
      </c>
      <c r="B21" s="2" t="s">
        <v>208</v>
      </c>
      <c r="C21" s="31" t="n">
        <v>299</v>
      </c>
      <c r="D21" s="32" t="n">
        <v>0</v>
      </c>
      <c r="E21" s="32" t="n">
        <v>0</v>
      </c>
      <c r="F21" s="8" t="s">
        <v>209</v>
      </c>
      <c r="G21" s="31" t="n">
        <v>900</v>
      </c>
      <c r="H21" s="23" t="n">
        <f aca="false">D21/Допущения!$B$30+E21/Допущения!$B$31+G21</f>
        <v>900</v>
      </c>
      <c r="I21" s="9" t="n">
        <f aca="false">IF(C21=0,0,H21/C21-1)</f>
        <v>2.01003344481605</v>
      </c>
      <c r="J21" s="11" t="n">
        <v>0.03</v>
      </c>
      <c r="K21" s="11" t="n">
        <v>0.06</v>
      </c>
      <c r="L21" s="8" t="s">
        <v>210</v>
      </c>
    </row>
    <row r="22" customFormat="false" ht="15" hidden="false" customHeight="false" outlineLevel="0" collapsed="false">
      <c r="A22" s="2" t="s">
        <v>211</v>
      </c>
      <c r="B22" s="2" t="s">
        <v>212</v>
      </c>
      <c r="C22" s="31" t="n">
        <v>149</v>
      </c>
      <c r="D22" s="32" t="n">
        <v>0</v>
      </c>
      <c r="E22" s="32" t="n">
        <v>0</v>
      </c>
      <c r="F22" s="8" t="s">
        <v>213</v>
      </c>
      <c r="G22" s="31" t="n">
        <v>580</v>
      </c>
      <c r="H22" s="23" t="n">
        <f aca="false">D22/Допущения!$B$30+E22/Допущения!$B$31+G22</f>
        <v>580</v>
      </c>
      <c r="I22" s="9" t="n">
        <f aca="false">IF(C22=0,0,H22/C22-1)</f>
        <v>2.89261744966443</v>
      </c>
      <c r="J22" s="11" t="n">
        <v>0</v>
      </c>
      <c r="K22" s="11" t="n">
        <v>0.04</v>
      </c>
      <c r="L22" s="8" t="s">
        <v>214</v>
      </c>
    </row>
    <row r="23" customFormat="false" ht="15" hidden="false" customHeight="false" outlineLevel="0" collapsed="false">
      <c r="A23" s="2" t="s">
        <v>215</v>
      </c>
      <c r="B23" s="2" t="s">
        <v>216</v>
      </c>
      <c r="C23" s="31" t="n">
        <v>299</v>
      </c>
      <c r="D23" s="32" t="n">
        <v>3000</v>
      </c>
      <c r="E23" s="32" t="n">
        <v>0</v>
      </c>
      <c r="F23" s="8" t="s">
        <v>217</v>
      </c>
      <c r="G23" s="31" t="n">
        <v>420</v>
      </c>
      <c r="H23" s="23" t="n">
        <f aca="false">D23/Допущения!$B$30+E23/Допущения!$B$31+G23</f>
        <v>567</v>
      </c>
      <c r="I23" s="9" t="n">
        <f aca="false">IF(C23=0,0,H23/C23-1)</f>
        <v>0.896321070234114</v>
      </c>
      <c r="J23" s="11" t="n">
        <v>0</v>
      </c>
      <c r="K23" s="11" t="n">
        <v>0.015</v>
      </c>
      <c r="L23" s="8" t="s">
        <v>214</v>
      </c>
    </row>
    <row r="24" customFormat="false" ht="26.85" hidden="false" customHeight="false" outlineLevel="0" collapsed="false">
      <c r="B24" s="3" t="s">
        <v>218</v>
      </c>
      <c r="J24" s="27" t="n">
        <f aca="false">SUM(J5:J23)</f>
        <v>1</v>
      </c>
      <c r="K24" s="27" t="n">
        <f aca="false">SUM(K5:K23)</f>
        <v>1.07</v>
      </c>
      <c r="L24" s="8" t="s">
        <v>219</v>
      </c>
    </row>
    <row r="25" customFormat="false" ht="15" hidden="false" customHeight="false" outlineLevel="0" collapsed="false">
      <c r="B25" s="3" t="s">
        <v>220</v>
      </c>
      <c r="J25" s="24" t="n">
        <f aca="false">IF(J24=0,0,SUMPRODUCT(C5:C23,J5:J23)/J24)</f>
        <v>93.5</v>
      </c>
      <c r="K25" s="24" t="n">
        <f aca="false">IF(K24=0,0,SUMPRODUCT(C5:C23,K5:K23)/K24)</f>
        <v>145.31308411215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221</v>
      </c>
    </row>
    <row r="2" customFormat="false" ht="15" hidden="false" customHeight="false" outlineLevel="0" collapsed="false">
      <c r="A2" s="3" t="s">
        <v>222</v>
      </c>
    </row>
    <row r="4" customFormat="false" ht="31.5" hidden="false" customHeight="true" outlineLevel="0" collapsed="false">
      <c r="A4" s="5" t="s">
        <v>223</v>
      </c>
      <c r="B4" s="5" t="s">
        <v>144</v>
      </c>
      <c r="C4" s="5" t="s">
        <v>224</v>
      </c>
      <c r="D4" s="5" t="s">
        <v>225</v>
      </c>
      <c r="E4" s="5" t="s">
        <v>226</v>
      </c>
      <c r="F4" s="5" t="s">
        <v>227</v>
      </c>
    </row>
    <row r="5" customFormat="false" ht="15" hidden="false" customHeight="false" outlineLevel="0" collapsed="false">
      <c r="A5" s="2" t="s">
        <v>228</v>
      </c>
      <c r="B5" s="32" t="n">
        <v>1</v>
      </c>
      <c r="C5" s="29" t="n">
        <v>1</v>
      </c>
      <c r="D5" s="11" t="n">
        <v>0.6</v>
      </c>
      <c r="E5" s="33" t="n">
        <f aca="false">B5*C5*D5</f>
        <v>0.6</v>
      </c>
      <c r="F5" s="8" t="s">
        <v>229</v>
      </c>
    </row>
    <row r="6" customFormat="false" ht="15" hidden="false" customHeight="false" outlineLevel="0" collapsed="false">
      <c r="A6" s="2" t="s">
        <v>230</v>
      </c>
      <c r="B6" s="32" t="n">
        <v>10</v>
      </c>
      <c r="C6" s="29" t="n">
        <v>0.142857142857143</v>
      </c>
      <c r="D6" s="11" t="n">
        <v>0.3</v>
      </c>
      <c r="E6" s="33" t="n">
        <f aca="false">B6*C6*D6</f>
        <v>0.428571428571428</v>
      </c>
      <c r="F6" s="8" t="s">
        <v>231</v>
      </c>
    </row>
    <row r="7" customFormat="false" ht="15" hidden="false" customHeight="false" outlineLevel="0" collapsed="false">
      <c r="A7" s="2" t="s">
        <v>232</v>
      </c>
      <c r="B7" s="32" t="n">
        <v>10</v>
      </c>
      <c r="C7" s="29" t="n">
        <v>0.142857142857143</v>
      </c>
      <c r="D7" s="11" t="n">
        <v>0.5</v>
      </c>
      <c r="E7" s="33" t="n">
        <f aca="false">B7*C7*D7</f>
        <v>0.714285714285714</v>
      </c>
      <c r="F7" s="8" t="s">
        <v>233</v>
      </c>
    </row>
    <row r="8" customFormat="false" ht="15" hidden="false" customHeight="false" outlineLevel="0" collapsed="false">
      <c r="A8" s="2" t="s">
        <v>234</v>
      </c>
      <c r="B8" s="32" t="n">
        <v>40</v>
      </c>
      <c r="C8" s="29" t="n">
        <v>0.0333333333333333</v>
      </c>
      <c r="D8" s="11" t="n">
        <v>0.4</v>
      </c>
      <c r="E8" s="33" t="n">
        <f aca="false">B8*C8*D8</f>
        <v>0.533333333333333</v>
      </c>
      <c r="F8" s="8" t="s">
        <v>235</v>
      </c>
    </row>
    <row r="9" customFormat="false" ht="15" hidden="false" customHeight="false" outlineLevel="0" collapsed="false">
      <c r="A9" s="2" t="s">
        <v>236</v>
      </c>
      <c r="B9" s="32" t="n">
        <v>3</v>
      </c>
      <c r="C9" s="29" t="n">
        <v>0.25</v>
      </c>
      <c r="D9" s="11" t="n">
        <v>0.8</v>
      </c>
      <c r="E9" s="33" t="n">
        <f aca="false">B9*C9*D9</f>
        <v>0.6</v>
      </c>
      <c r="F9" s="8" t="s">
        <v>237</v>
      </c>
    </row>
    <row r="10" customFormat="false" ht="15" hidden="false" customHeight="false" outlineLevel="0" collapsed="false">
      <c r="A10" s="2" t="s">
        <v>238</v>
      </c>
      <c r="B10" s="32" t="n">
        <v>5</v>
      </c>
      <c r="C10" s="29" t="n">
        <v>0.08</v>
      </c>
      <c r="D10" s="11" t="n">
        <v>1</v>
      </c>
      <c r="E10" s="33" t="n">
        <f aca="false">B10*C10*D10</f>
        <v>0.4</v>
      </c>
      <c r="F10" s="8" t="s">
        <v>239</v>
      </c>
    </row>
    <row r="11" customFormat="false" ht="15" hidden="false" customHeight="false" outlineLevel="0" collapsed="false">
      <c r="A11" s="2" t="s">
        <v>240</v>
      </c>
      <c r="B11" s="32" t="n">
        <v>60</v>
      </c>
      <c r="C11" s="29" t="n">
        <v>0.00666666666666667</v>
      </c>
      <c r="D11" s="11" t="n">
        <v>1</v>
      </c>
      <c r="E11" s="33" t="n">
        <f aca="false">B11*C11*D11</f>
        <v>0.4</v>
      </c>
      <c r="F11" s="8" t="s">
        <v>241</v>
      </c>
    </row>
    <row r="12" customFormat="false" ht="15" hidden="false" customHeight="false" outlineLevel="0" collapsed="false">
      <c r="A12" s="2" t="s">
        <v>242</v>
      </c>
      <c r="B12" s="32" t="n">
        <v>4</v>
      </c>
      <c r="C12" s="29" t="n">
        <v>0.1</v>
      </c>
      <c r="D12" s="11" t="n">
        <v>0.5</v>
      </c>
      <c r="E12" s="33" t="n">
        <f aca="false">B12*C12*D12</f>
        <v>0.2</v>
      </c>
      <c r="F12" s="8" t="s">
        <v>243</v>
      </c>
    </row>
    <row r="13" customFormat="false" ht="15" hidden="false" customHeight="false" outlineLevel="0" collapsed="false">
      <c r="A13" s="3" t="s">
        <v>244</v>
      </c>
      <c r="E13" s="34" t="n">
        <f aca="false">SUM(E5:E12)</f>
        <v>3.87619047619048</v>
      </c>
    </row>
    <row r="14" customFormat="false" ht="15" hidden="false" customHeight="false" outlineLevel="0" collapsed="false">
      <c r="A14" s="3" t="s">
        <v>245</v>
      </c>
      <c r="B14" s="25" t="n">
        <f aca="false">$E$13*30</f>
        <v>116.285714285714</v>
      </c>
      <c r="C14" s="25" t="n">
        <f aca="false">$E$13*90</f>
        <v>348.857142857143</v>
      </c>
      <c r="D14" s="25" t="n">
        <f aca="false">$E$13*150</f>
        <v>581.428571428571</v>
      </c>
    </row>
    <row r="16" customFormat="false" ht="15" hidden="false" customHeight="false" outlineLevel="0" collapsed="false">
      <c r="A16" s="3" t="s">
        <v>246</v>
      </c>
    </row>
    <row r="17" customFormat="false" ht="31.5" hidden="false" customHeight="true" outlineLevel="0" collapsed="false">
      <c r="A17" s="5" t="s">
        <v>247</v>
      </c>
      <c r="B17" s="5" t="s">
        <v>144</v>
      </c>
      <c r="C17" s="5"/>
      <c r="D17" s="5"/>
      <c r="E17" s="5"/>
      <c r="F17" s="5" t="s">
        <v>248</v>
      </c>
    </row>
    <row r="18" customFormat="false" ht="15" hidden="false" customHeight="false" outlineLevel="0" collapsed="false">
      <c r="A18" s="32" t="n">
        <v>0</v>
      </c>
      <c r="B18" s="32" t="n">
        <v>0</v>
      </c>
    </row>
    <row r="19" customFormat="false" ht="15" hidden="false" customHeight="false" outlineLevel="0" collapsed="false">
      <c r="A19" s="32" t="n">
        <v>5</v>
      </c>
      <c r="B19" s="32" t="n">
        <v>1</v>
      </c>
    </row>
    <row r="20" customFormat="false" ht="15" hidden="false" customHeight="false" outlineLevel="0" collapsed="false">
      <c r="A20" s="32" t="n">
        <v>30</v>
      </c>
      <c r="B20" s="32" t="n">
        <v>3</v>
      </c>
    </row>
    <row r="21" customFormat="false" ht="15" hidden="false" customHeight="false" outlineLevel="0" collapsed="false">
      <c r="A21" s="32" t="n">
        <v>60</v>
      </c>
      <c r="B21" s="32" t="n">
        <v>5</v>
      </c>
    </row>
    <row r="22" customFormat="false" ht="15" hidden="false" customHeight="false" outlineLevel="0" collapsed="false">
      <c r="A22" s="32" t="n">
        <v>240</v>
      </c>
      <c r="B22" s="32" t="n">
        <v>15</v>
      </c>
    </row>
    <row r="23" customFormat="false" ht="15" hidden="false" customHeight="false" outlineLevel="0" collapsed="false">
      <c r="A23" s="32" t="n">
        <v>1440</v>
      </c>
      <c r="B23" s="32" t="n">
        <v>60</v>
      </c>
    </row>
    <row r="24" customFormat="false" ht="15" hidden="false" customHeight="false" outlineLevel="0" collapsed="false">
      <c r="A24" s="32" t="n">
        <v>10080</v>
      </c>
      <c r="B24" s="32" t="n">
        <v>300</v>
      </c>
    </row>
    <row r="26" customFormat="false" ht="15" hidden="false" customHeight="false" outlineLevel="0" collapsed="false">
      <c r="A26" s="3" t="s">
        <v>249</v>
      </c>
    </row>
    <row r="27" customFormat="false" ht="31.5" hidden="false" customHeight="true" outlineLevel="0" collapsed="false">
      <c r="A27" s="5" t="s">
        <v>250</v>
      </c>
      <c r="B27" s="5" t="s">
        <v>251</v>
      </c>
      <c r="C27" s="5" t="s">
        <v>252</v>
      </c>
      <c r="D27" s="5"/>
      <c r="E27" s="5"/>
      <c r="F27" s="5" t="s">
        <v>253</v>
      </c>
    </row>
    <row r="28" customFormat="false" ht="15" hidden="false" customHeight="false" outlineLevel="0" collapsed="false">
      <c r="A28" s="2" t="s">
        <v>254</v>
      </c>
      <c r="B28" s="32" t="n">
        <v>15</v>
      </c>
      <c r="C28" s="6" t="n">
        <f aca="false">IF(B28&gt;=MAX($A$18:$A$24),MAX($B$18:$B$24),ROUND(INDEX($B$18:$B$24,MIN(MATCH(B28,$A$18:$A$24,1),6))+(INDEX($B$18:$B$24,MIN(MATCH(B28,$A$18:$A$24,1),6)+1)-INDEX($B$18:$B$24,MIN(MATCH(B28,$A$18:$A$24,1),6)))*(B28-INDEX($A$18:$A$24,MIN(MATCH(B28,$A$18:$A$24,1),6)))/(INDEX($A$18:$A$24,MIN(MATCH(B28,$A$18:$A$24,1),6)+1)-INDEX($A$18:$A$24,MIN(MATCH(B28,$A$18:$A$24,1),6))),0))</f>
        <v>2</v>
      </c>
    </row>
    <row r="29" customFormat="false" ht="15" hidden="false" customHeight="false" outlineLevel="0" collapsed="false">
      <c r="A29" s="2" t="s">
        <v>255</v>
      </c>
      <c r="B29" s="32" t="n">
        <v>60</v>
      </c>
      <c r="C29" s="6" t="n">
        <f aca="false">IF(B29&gt;=MAX($A$18:$A$24),MAX($B$18:$B$24),ROUND(INDEX($B$18:$B$24,MIN(MATCH(B29,$A$18:$A$24,1),6))+(INDEX($B$18:$B$24,MIN(MATCH(B29,$A$18:$A$24,1),6)+1)-INDEX($B$18:$B$24,MIN(MATCH(B29,$A$18:$A$24,1),6)))*(B29-INDEX($A$18:$A$24,MIN(MATCH(B29,$A$18:$A$24,1),6)))/(INDEX($A$18:$A$24,MIN(MATCH(B29,$A$18:$A$24,1),6)+1)-INDEX($A$18:$A$24,MIN(MATCH(B29,$A$18:$A$24,1),6))),0))</f>
        <v>5</v>
      </c>
    </row>
    <row r="30" customFormat="false" ht="15" hidden="false" customHeight="false" outlineLevel="0" collapsed="false">
      <c r="A30" s="2" t="s">
        <v>256</v>
      </c>
      <c r="B30" s="32" t="n">
        <v>180</v>
      </c>
      <c r="C30" s="6" t="n">
        <f aca="false">IF(B30&gt;=MAX($A$18:$A$24),MAX($B$18:$B$24),ROUND(INDEX($B$18:$B$24,MIN(MATCH(B30,$A$18:$A$24,1),6))+(INDEX($B$18:$B$24,MIN(MATCH(B30,$A$18:$A$24,1),6)+1)-INDEX($B$18:$B$24,MIN(MATCH(B30,$A$18:$A$24,1),6)))*(B30-INDEX($A$18:$A$24,MIN(MATCH(B30,$A$18:$A$24,1),6)))/(INDEX($A$18:$A$24,MIN(MATCH(B30,$A$18:$A$24,1),6)+1)-INDEX($A$18:$A$24,MIN(MATCH(B30,$A$18:$A$24,1),6))),0))</f>
        <v>12</v>
      </c>
    </row>
    <row r="31" customFormat="false" ht="15" hidden="false" customHeight="false" outlineLevel="0" collapsed="false">
      <c r="A31" s="2" t="s">
        <v>257</v>
      </c>
      <c r="B31" s="32" t="n">
        <v>360</v>
      </c>
      <c r="C31" s="6" t="n">
        <f aca="false">IF(B31&gt;=MAX($A$18:$A$24),MAX($B$18:$B$24),ROUND(INDEX($B$18:$B$24,MIN(MATCH(B31,$A$18:$A$24,1),6))+(INDEX($B$18:$B$24,MIN(MATCH(B31,$A$18:$A$24,1),6)+1)-INDEX($B$18:$B$24,MIN(MATCH(B31,$A$18:$A$24,1),6)))*(B31-INDEX($A$18:$A$24,MIN(MATCH(B31,$A$18:$A$24,1),6)))/(INDEX($A$18:$A$24,MIN(MATCH(B31,$A$18:$A$24,1),6)+1)-INDEX($A$18:$A$24,MIN(MATCH(B31,$A$18:$A$24,1),6))),0))</f>
        <v>20</v>
      </c>
    </row>
    <row r="32" customFormat="false" ht="15" hidden="false" customHeight="false" outlineLevel="0" collapsed="false">
      <c r="A32" s="2" t="s">
        <v>258</v>
      </c>
      <c r="B32" s="32" t="n">
        <v>600</v>
      </c>
      <c r="C32" s="6" t="n">
        <f aca="false">IF(B32&gt;=MAX($A$18:$A$24),MAX($B$18:$B$24),ROUND(INDEX($B$18:$B$24,MIN(MATCH(B32,$A$18:$A$24,1),6))+(INDEX($B$18:$B$24,MIN(MATCH(B32,$A$18:$A$24,1),6)+1)-INDEX($B$18:$B$24,MIN(MATCH(B32,$A$18:$A$24,1),6)))*(B32-INDEX($A$18:$A$24,MIN(MATCH(B32,$A$18:$A$24,1),6)))/(INDEX($A$18:$A$24,MIN(MATCH(B32,$A$18:$A$24,1),6)+1)-INDEX($A$18:$A$24,MIN(MATCH(B32,$A$18:$A$24,1),6))),0))</f>
        <v>29</v>
      </c>
    </row>
    <row r="33" customFormat="false" ht="15" hidden="false" customHeight="false" outlineLevel="0" collapsed="false">
      <c r="A33" s="2" t="s">
        <v>259</v>
      </c>
      <c r="B33" s="32" t="n">
        <v>960</v>
      </c>
      <c r="C33" s="6" t="n">
        <f aca="false">IF(B33&gt;=MAX($A$18:$A$24),MAX($B$18:$B$24),ROUND(INDEX($B$18:$B$24,MIN(MATCH(B33,$A$18:$A$24,1),6))+(INDEX($B$18:$B$24,MIN(MATCH(B33,$A$18:$A$24,1),6)+1)-INDEX($B$18:$B$24,MIN(MATCH(B33,$A$18:$A$24,1),6)))*(B33-INDEX($A$18:$A$24,MIN(MATCH(B33,$A$18:$A$24,1),6)))/(INDEX($A$18:$A$24,MIN(MATCH(B33,$A$18:$A$24,1),6)+1)-INDEX($A$18:$A$24,MIN(MATCH(B33,$A$18:$A$24,1),6))),0))</f>
        <v>42</v>
      </c>
    </row>
    <row r="34" customFormat="false" ht="15" hidden="false" customHeight="false" outlineLevel="0" collapsed="false">
      <c r="A34" s="2" t="s">
        <v>260</v>
      </c>
      <c r="B34" s="32" t="n">
        <v>1440</v>
      </c>
      <c r="C34" s="6" t="n">
        <f aca="false">IF(B34&gt;=MAX($A$18:$A$24),MAX($B$18:$B$24),ROUND(INDEX($B$18:$B$24,MIN(MATCH(B34,$A$18:$A$24,1),6))+(INDEX($B$18:$B$24,MIN(MATCH(B34,$A$18:$A$24,1),6)+1)-INDEX($B$18:$B$24,MIN(MATCH(B34,$A$18:$A$24,1),6)))*(B34-INDEX($A$18:$A$24,MIN(MATCH(B34,$A$18:$A$24,1),6)))/(INDEX($A$18:$A$24,MIN(MATCH(B34,$A$18:$A$24,1),6)+1)-INDEX($A$18:$A$24,MIN(MATCH(B34,$A$18:$A$24,1),6))),0))</f>
        <v>60</v>
      </c>
    </row>
    <row r="35" customFormat="false" ht="15" hidden="false" customHeight="false" outlineLevel="0" collapsed="false">
      <c r="A35" s="2" t="s">
        <v>261</v>
      </c>
      <c r="B35" s="32" t="n">
        <v>2160</v>
      </c>
      <c r="C35" s="6" t="n">
        <f aca="false">IF(B35&gt;=MAX($A$18:$A$24),MAX($B$18:$B$24),ROUND(INDEX($B$18:$B$24,MIN(MATCH(B35,$A$18:$A$24,1),6))+(INDEX($B$18:$B$24,MIN(MATCH(B35,$A$18:$A$24,1),6)+1)-INDEX($B$18:$B$24,MIN(MATCH(B35,$A$18:$A$24,1),6)))*(B35-INDEX($A$18:$A$24,MIN(MATCH(B35,$A$18:$A$24,1),6)))/(INDEX($A$18:$A$24,MIN(MATCH(B35,$A$18:$A$24,1),6)+1)-INDEX($A$18:$A$24,MIN(MATCH(B35,$A$18:$A$24,1),6))),0))</f>
        <v>80</v>
      </c>
    </row>
    <row r="36" customFormat="false" ht="15" hidden="false" customHeight="false" outlineLevel="0" collapsed="false">
      <c r="A36" s="2" t="s">
        <v>262</v>
      </c>
      <c r="B36" s="32" t="n">
        <v>3600</v>
      </c>
      <c r="C36" s="6" t="n">
        <f aca="false">IF(B36&gt;=MAX($A$18:$A$24),MAX($B$18:$B$24),ROUND(INDEX($B$18:$B$24,MIN(MATCH(B36,$A$18:$A$24,1),6))+(INDEX($B$18:$B$24,MIN(MATCH(B36,$A$18:$A$24,1),6)+1)-INDEX($B$18:$B$24,MIN(MATCH(B36,$A$18:$A$24,1),6)))*(B36-INDEX($A$18:$A$24,MIN(MATCH(B36,$A$18:$A$24,1),6)))/(INDEX($A$18:$A$24,MIN(MATCH(B36,$A$18:$A$24,1),6)+1)-INDEX($A$18:$A$24,MIN(MATCH(B36,$A$18:$A$24,1),6))),0))</f>
        <v>120</v>
      </c>
    </row>
    <row r="37" customFormat="false" ht="15" hidden="false" customHeight="false" outlineLevel="0" collapsed="false">
      <c r="A37" s="2" t="s">
        <v>263</v>
      </c>
      <c r="B37" s="32" t="n">
        <v>5760</v>
      </c>
      <c r="C37" s="6" t="n">
        <f aca="false">IF(B37&gt;=MAX($A$18:$A$24),MAX($B$18:$B$24),ROUND(INDEX($B$18:$B$24,MIN(MATCH(B37,$A$18:$A$24,1),6))+(INDEX($B$18:$B$24,MIN(MATCH(B37,$A$18:$A$24,1),6)+1)-INDEX($B$18:$B$24,MIN(MATCH(B37,$A$18:$A$24,1),6)))*(B37-INDEX($A$18:$A$24,MIN(MATCH(B37,$A$18:$A$24,1),6)))/(INDEX($A$18:$A$24,MIN(MATCH(B37,$A$18:$A$24,1),6)+1)-INDEX($A$18:$A$24,MIN(MATCH(B37,$A$18:$A$24,1),6))),0))</f>
        <v>180</v>
      </c>
    </row>
    <row r="38" customFormat="false" ht="15" hidden="false" customHeight="false" outlineLevel="0" collapsed="false">
      <c r="A38" s="2" t="s">
        <v>264</v>
      </c>
      <c r="B38" s="32" t="n">
        <v>10080</v>
      </c>
      <c r="C38" s="6" t="n">
        <f aca="false">IF(B38&gt;=MAX($A$18:$A$24),MAX($B$18:$B$24),ROUND(INDEX($B$18:$B$24,MIN(MATCH(B38,$A$18:$A$24,1),6))+(INDEX($B$18:$B$24,MIN(MATCH(B38,$A$18:$A$24,1),6)+1)-INDEX($B$18:$B$24,MIN(MATCH(B38,$A$18:$A$24,1),6)))*(B38-INDEX($A$18:$A$24,MIN(MATCH(B38,$A$18:$A$24,1),6)))/(INDEX($A$18:$A$24,MIN(MATCH(B38,$A$18:$A$24,1),6)+1)-INDEX($A$18:$A$24,MIN(MATCH(B38,$A$18:$A$24,1),6))),0))</f>
        <v>300</v>
      </c>
    </row>
    <row r="39" customFormat="false" ht="15" hidden="false" customHeight="false" outlineLevel="0" collapsed="false">
      <c r="A39" s="3" t="s">
        <v>265</v>
      </c>
      <c r="C39" s="25" t="n">
        <f aca="false">SUM(C28:C38)</f>
        <v>850</v>
      </c>
    </row>
    <row r="41" customFormat="false" ht="15" hidden="false" customHeight="false" outlineLevel="0" collapsed="false">
      <c r="A41" s="3" t="s">
        <v>266</v>
      </c>
    </row>
    <row r="42" customFormat="false" ht="31.5" hidden="false" customHeight="true" outlineLevel="0" collapsed="false">
      <c r="A42" s="5" t="s">
        <v>267</v>
      </c>
      <c r="B42" s="5" t="s">
        <v>144</v>
      </c>
      <c r="C42" s="5"/>
      <c r="D42" s="5"/>
      <c r="E42" s="5"/>
      <c r="F42" s="5" t="s">
        <v>268</v>
      </c>
    </row>
    <row r="43" customFormat="false" ht="15" hidden="false" customHeight="false" outlineLevel="0" collapsed="false">
      <c r="A43" s="8" t="s">
        <v>269</v>
      </c>
      <c r="B43" s="32" t="n">
        <v>15</v>
      </c>
      <c r="F43" s="8" t="s">
        <v>270</v>
      </c>
    </row>
    <row r="44" customFormat="false" ht="15" hidden="false" customHeight="false" outlineLevel="0" collapsed="false">
      <c r="A44" s="8" t="s">
        <v>271</v>
      </c>
      <c r="B44" s="32" t="n">
        <v>35</v>
      </c>
      <c r="F44" s="8" t="s">
        <v>272</v>
      </c>
    </row>
    <row r="45" customFormat="false" ht="15" hidden="false" customHeight="false" outlineLevel="0" collapsed="false">
      <c r="A45" s="8" t="s">
        <v>273</v>
      </c>
      <c r="B45" s="32" t="n">
        <v>8</v>
      </c>
      <c r="F45" s="8" t="s">
        <v>274</v>
      </c>
    </row>
    <row r="46" customFormat="false" ht="15" hidden="false" customHeight="false" outlineLevel="0" collapsed="false">
      <c r="A46" s="8" t="s">
        <v>275</v>
      </c>
      <c r="B46" s="32" t="n">
        <v>10</v>
      </c>
      <c r="F46" s="8" t="s">
        <v>276</v>
      </c>
    </row>
    <row r="47" customFormat="false" ht="26.85" hidden="false" customHeight="false" outlineLevel="0" collapsed="false">
      <c r="A47" s="8" t="s">
        <v>277</v>
      </c>
      <c r="B47" s="32" t="n">
        <v>150</v>
      </c>
      <c r="F47" s="8" t="s">
        <v>278</v>
      </c>
    </row>
    <row r="48" customFormat="false" ht="15" hidden="false" customHeight="false" outlineLevel="0" collapsed="false">
      <c r="A48" s="8" t="s">
        <v>279</v>
      </c>
      <c r="B48" s="32" t="n">
        <v>15</v>
      </c>
      <c r="F48" s="8" t="s">
        <v>280</v>
      </c>
    </row>
    <row r="50" customFormat="false" ht="15" hidden="false" customHeight="false" outlineLevel="0" collapsed="false">
      <c r="A50" s="3" t="s">
        <v>281</v>
      </c>
    </row>
    <row r="51" customFormat="false" ht="31.5" hidden="false" customHeight="true" outlineLevel="0" collapsed="false">
      <c r="A51" s="5" t="s">
        <v>282</v>
      </c>
      <c r="B51" s="5" t="s">
        <v>283</v>
      </c>
      <c r="C51" s="5" t="s">
        <v>284</v>
      </c>
      <c r="D51" s="5" t="s">
        <v>285</v>
      </c>
      <c r="E51" s="5"/>
      <c r="F51" s="5" t="s">
        <v>286</v>
      </c>
    </row>
    <row r="52" customFormat="false" ht="15" hidden="false" customHeight="false" outlineLevel="0" collapsed="false">
      <c r="A52" s="8" t="s">
        <v>287</v>
      </c>
      <c r="B52" s="6" t="n">
        <f aca="false">B14</f>
        <v>116.285714285714</v>
      </c>
      <c r="C52" s="6" t="n">
        <f aca="false">C14</f>
        <v>348.857142857143</v>
      </c>
      <c r="D52" s="6" t="n">
        <f aca="false">D14</f>
        <v>581.428571428571</v>
      </c>
      <c r="F52" s="8" t="s">
        <v>288</v>
      </c>
    </row>
    <row r="53" customFormat="false" ht="26.85" hidden="false" customHeight="false" outlineLevel="0" collapsed="false">
      <c r="A53" s="8" t="s">
        <v>289</v>
      </c>
      <c r="B53" s="6" t="n">
        <f aca="false">INT(B14/$B$43)</f>
        <v>7</v>
      </c>
      <c r="C53" s="6" t="n">
        <f aca="false">INT(C14/$B$43)</f>
        <v>23</v>
      </c>
      <c r="D53" s="6" t="n">
        <f aca="false">INT(D14/$B$43)</f>
        <v>38</v>
      </c>
      <c r="F53" s="8" t="s">
        <v>290</v>
      </c>
    </row>
    <row r="54" customFormat="false" ht="15" hidden="false" customHeight="false" outlineLevel="0" collapsed="false">
      <c r="A54" s="8" t="s">
        <v>291</v>
      </c>
      <c r="B54" s="6" t="n">
        <f aca="false">INT(B14/60)</f>
        <v>1</v>
      </c>
      <c r="C54" s="6" t="n">
        <f aca="false">INT(C14/60)</f>
        <v>5</v>
      </c>
      <c r="D54" s="6" t="n">
        <f aca="false">INT(D14/60)</f>
        <v>9</v>
      </c>
      <c r="F54" s="8" t="s">
        <v>292</v>
      </c>
    </row>
    <row r="55" customFormat="false" ht="15" hidden="false" customHeight="false" outlineLevel="0" collapsed="false">
      <c r="A55" s="8" t="s">
        <v>293</v>
      </c>
      <c r="B55" s="6" t="n">
        <f aca="false">INT(B14/$B$47)</f>
        <v>0</v>
      </c>
      <c r="C55" s="6" t="n">
        <f aca="false">INT(C14/$B$47)</f>
        <v>2</v>
      </c>
      <c r="D55" s="6" t="n">
        <f aca="false">INT(D14/$B$47)</f>
        <v>3</v>
      </c>
      <c r="F55" s="8" t="s">
        <v>294</v>
      </c>
    </row>
    <row r="56" customFormat="false" ht="26.85" hidden="false" customHeight="false" outlineLevel="0" collapsed="false">
      <c r="A56" s="8" t="s">
        <v>295</v>
      </c>
      <c r="B56" s="9" t="n">
        <f aca="false">B14/$C$39</f>
        <v>0.136806722689076</v>
      </c>
      <c r="C56" s="9" t="n">
        <f aca="false">C14/$C$39</f>
        <v>0.410420168067227</v>
      </c>
      <c r="D56" s="9" t="n">
        <f aca="false">D14/$C$39</f>
        <v>0.684033613445378</v>
      </c>
      <c r="F56" s="8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4" min="2" style="0" width="11"/>
    <col collapsed="false" customWidth="true" hidden="false" outlineLevel="0" max="16" min="5" style="0" width="12"/>
    <col collapsed="false" customWidth="true" hidden="false" outlineLevel="0" max="17" min="17" style="0" width="6"/>
    <col collapsed="false" customWidth="true" hidden="false" outlineLevel="0" max="18" min="18" style="0" width="3"/>
    <col collapsed="false" customWidth="true" hidden="false" outlineLevel="0" max="24" min="19" style="0" width="9"/>
  </cols>
  <sheetData>
    <row r="1" customFormat="false" ht="17.35" hidden="false" customHeight="false" outlineLevel="0" collapsed="false">
      <c r="A1" s="1" t="s">
        <v>297</v>
      </c>
    </row>
    <row r="2" customFormat="false" ht="15" hidden="false" customHeight="false" outlineLevel="0" collapsed="false">
      <c r="A2" s="2" t="s">
        <v>298</v>
      </c>
      <c r="S2" s="3" t="s">
        <v>299</v>
      </c>
    </row>
    <row r="3" customFormat="false" ht="15" hidden="false" customHeight="false" outlineLevel="0" collapsed="false">
      <c r="S3" s="6" t="n">
        <v>1</v>
      </c>
      <c r="T3" s="6" t="n">
        <v>7</v>
      </c>
      <c r="U3" s="6" t="n">
        <v>30</v>
      </c>
      <c r="V3" s="6" t="n">
        <v>90</v>
      </c>
      <c r="W3" s="6" t="n">
        <v>180</v>
      </c>
      <c r="X3" s="6" t="n">
        <v>365</v>
      </c>
    </row>
    <row r="4" customFormat="false" ht="15" hidden="false" customHeight="false" outlineLevel="0" collapsed="false">
      <c r="S4" s="35" t="n">
        <f aca="false">Допущения!$B$7</f>
        <v>0.3</v>
      </c>
      <c r="T4" s="35" t="n">
        <f aca="false">Допущения!$B$8</f>
        <v>0.12</v>
      </c>
      <c r="U4" s="35" t="n">
        <f aca="false">Допущения!$B$9</f>
        <v>0.05</v>
      </c>
      <c r="V4" s="35" t="n">
        <f aca="false">Допущения!$B$10</f>
        <v>0.022</v>
      </c>
      <c r="W4" s="35" t="n">
        <f aca="false">Допущения!$B$11</f>
        <v>0.012</v>
      </c>
      <c r="X4" s="35" t="n">
        <f aca="false">Допущения!$B$12</f>
        <v>0.005</v>
      </c>
    </row>
    <row r="6" customFormat="false" ht="31.5" hidden="false" customHeight="true" outlineLevel="0" collapsed="false">
      <c r="A6" s="5" t="s">
        <v>300</v>
      </c>
      <c r="B6" s="5" t="s">
        <v>301</v>
      </c>
      <c r="C6" s="5" t="s">
        <v>302</v>
      </c>
      <c r="D6" s="5" t="s">
        <v>303</v>
      </c>
      <c r="E6" s="5" t="s">
        <v>304</v>
      </c>
      <c r="F6" s="5" t="s">
        <v>305</v>
      </c>
      <c r="G6" s="5" t="s">
        <v>306</v>
      </c>
      <c r="H6" s="5" t="s">
        <v>307</v>
      </c>
      <c r="I6" s="5" t="s">
        <v>308</v>
      </c>
      <c r="J6" s="5" t="s">
        <v>309</v>
      </c>
      <c r="K6" s="5" t="s">
        <v>310</v>
      </c>
      <c r="L6" s="5" t="s">
        <v>311</v>
      </c>
      <c r="M6" s="5" t="s">
        <v>312</v>
      </c>
      <c r="N6" s="5" t="s">
        <v>313</v>
      </c>
      <c r="O6" s="5" t="s">
        <v>314</v>
      </c>
      <c r="P6" s="5" t="s">
        <v>315</v>
      </c>
      <c r="Q6" s="5" t="s">
        <v>316</v>
      </c>
    </row>
    <row r="7" customFormat="false" ht="15" hidden="false" customHeight="false" outlineLevel="0" collapsed="false">
      <c r="A7" s="6" t="n">
        <v>0</v>
      </c>
      <c r="B7" s="9" t="n">
        <v>1</v>
      </c>
      <c r="C7" s="33" t="n">
        <f aca="false">B7</f>
        <v>1</v>
      </c>
      <c r="D7" s="36" t="n">
        <f aca="false">Допущения!$B$19*(1-EXP(-Допущения!$B$26*(A7+1)))</f>
        <v>0.000996546391652999</v>
      </c>
      <c r="E7" s="37" t="n">
        <f aca="false">D7</f>
        <v>0.000996546391652999</v>
      </c>
      <c r="F7" s="37" t="n">
        <f aca="false">D7*MIN(1,B7*Допущения!$B$21)</f>
        <v>0.000996546391652999</v>
      </c>
      <c r="G7" s="17" t="n">
        <f aca="false">((B7-F7*Допущения!$B$23)*Допущения!$B$13*Допущения!$B$15+B7*Допущения!$B$14*Допущения!$B$16)/1000</f>
        <v>0.984946186494851</v>
      </c>
      <c r="H7" s="17" t="n">
        <f aca="false">E7*Допущения!$B$27</f>
        <v>0.0931770876195554</v>
      </c>
      <c r="I7" s="17" t="n">
        <f aca="false">F7*Допущения!$B$22/30*Допущения!$B$28</f>
        <v>0.00482704098773105</v>
      </c>
      <c r="J7" s="17" t="n">
        <f aca="false">G7*Допущения!$B$17+(H7+I7)*Допущения!$B$18</f>
        <v>0.541475157551069</v>
      </c>
      <c r="K7" s="19" t="n">
        <f aca="false">J7</f>
        <v>0.541475157551069</v>
      </c>
      <c r="L7" s="19" t="n">
        <f aca="false">G7*Допущения!$B$17</f>
        <v>0.492473093247425</v>
      </c>
      <c r="M7" s="19" t="n">
        <f aca="false">H7*Допущения!$B$18</f>
        <v>0.0465885438097777</v>
      </c>
      <c r="N7" s="19" t="n">
        <f aca="false">I7*Допущения!$B$18</f>
        <v>0.00241352049386552</v>
      </c>
      <c r="O7" s="19" t="n">
        <f aca="false">G7+H7+I7</f>
        <v>1.08295031510214</v>
      </c>
      <c r="P7" s="17" t="n">
        <f aca="false">F7</f>
        <v>0.000996546391652999</v>
      </c>
      <c r="Q7" s="6" t="n">
        <v>1</v>
      </c>
    </row>
    <row r="8" customFormat="false" ht="15" hidden="false" customHeight="false" outlineLevel="0" collapsed="false">
      <c r="A8" s="6" t="n">
        <v>1</v>
      </c>
      <c r="B8" s="14" t="n">
        <f aca="false">INDEX($S$4:$X$4,Q8)*(INDEX($S$4:$X$4,Q8+1)/INDEX($S$4:$X$4,Q8))^((LN(A8)-LN(INDEX($S$3:$X$3,Q8)))/(LN(INDEX($S$3:$X$3,Q8+1))-LN(INDEX($S$3:$X$3,Q8))))</f>
        <v>0.3</v>
      </c>
      <c r="C8" s="33" t="n">
        <f aca="false">C7+B8</f>
        <v>1.3</v>
      </c>
      <c r="D8" s="36" t="n">
        <f aca="false">Допущения!$B$19*(1-EXP(-Допущения!$B$26*(A8+1)))</f>
        <v>0.00189378231223434</v>
      </c>
      <c r="E8" s="37" t="n">
        <f aca="false">D8-D7</f>
        <v>0.000897235920581339</v>
      </c>
      <c r="F8" s="37" t="n">
        <f aca="false">D8*MIN(1,B8*Допущения!$B$21)</f>
        <v>0.00142033673417575</v>
      </c>
      <c r="G8" s="17" t="n">
        <f aca="false">((B8-F8*Допущения!$B$23)*Допущения!$B$13*Допущения!$B$15+B8*Допущения!$B$14*Допущения!$B$16)/1000</f>
        <v>0.295423301816355</v>
      </c>
      <c r="H8" s="17" t="n">
        <f aca="false">E8*Допущения!$B$27</f>
        <v>0.0838915585743552</v>
      </c>
      <c r="I8" s="17" t="n">
        <f aca="false">F8*Допущения!$B$22/30*Допущения!$B$28</f>
        <v>0.00687978371069523</v>
      </c>
      <c r="J8" s="17" t="n">
        <f aca="false">G8*Допущения!$B$17+(H8+I8)*Допущения!$B$18</f>
        <v>0.193097322050702</v>
      </c>
      <c r="K8" s="19" t="n">
        <f aca="false">K7+J8</f>
        <v>0.734572479601771</v>
      </c>
      <c r="L8" s="19" t="n">
        <f aca="false">L7+G8*Допущения!$B$17</f>
        <v>0.640184744155603</v>
      </c>
      <c r="M8" s="19" t="n">
        <f aca="false">M7+H8*Допущения!$B$18</f>
        <v>0.0885343230969553</v>
      </c>
      <c r="N8" s="19" t="n">
        <f aca="false">N7+I8*Допущения!$B$18</f>
        <v>0.00585341234921314</v>
      </c>
      <c r="O8" s="19" t="n">
        <f aca="false">O7+G8+H8+I8</f>
        <v>1.46914495920354</v>
      </c>
      <c r="P8" s="17" t="n">
        <f aca="false">P7+F8</f>
        <v>0.00241688312582875</v>
      </c>
      <c r="Q8" s="6" t="n">
        <f aca="false">MIN(MATCH(A8,$S$3:$X$3,1),5)</f>
        <v>1</v>
      </c>
    </row>
    <row r="9" customFormat="false" ht="15" hidden="false" customHeight="false" outlineLevel="0" collapsed="false">
      <c r="A9" s="6" t="n">
        <v>2</v>
      </c>
      <c r="B9" s="14" t="n">
        <f aca="false">INDEX($S$4:$X$4,Q9)*(INDEX($S$4:$X$4,Q9+1)/INDEX($S$4:$X$4,Q9))^((LN(A9)-LN(INDEX($S$3:$X$3,Q9)))/(LN(INDEX($S$3:$X$3,Q9+1))-LN(INDEX($S$3:$X$3,Q9))))</f>
        <v>0.216457263446675</v>
      </c>
      <c r="C9" s="33" t="n">
        <f aca="false">C8+B9</f>
        <v>1.51645726344668</v>
      </c>
      <c r="D9" s="36" t="n">
        <f aca="false">Допущения!$B$19*(1-EXP(-Допущения!$B$26*(A9+1)))</f>
        <v>0.002701604510904</v>
      </c>
      <c r="E9" s="37" t="n">
        <f aca="false">D9-D8</f>
        <v>0.000807822198669659</v>
      </c>
      <c r="F9" s="37" t="n">
        <f aca="false">D9*MIN(1,B9*Допущения!$B$21)</f>
        <v>0.00146195479836368</v>
      </c>
      <c r="G9" s="17" t="n">
        <f aca="false">((B9-F9*Допущения!$B$23)*Допущения!$B$13*Допущения!$B$15+B9*Допущения!$B$14*Допущения!$B$16)/1000</f>
        <v>0.213131458935863</v>
      </c>
      <c r="H9" s="17" t="n">
        <f aca="false">E9*Допущения!$B$27</f>
        <v>0.0755313755756131</v>
      </c>
      <c r="I9" s="17" t="n">
        <f aca="false">F9*Допущения!$B$22/30*Допущения!$B$28</f>
        <v>0.00708137201942607</v>
      </c>
      <c r="J9" s="17" t="n">
        <f aca="false">G9*Допущения!$B$17+(H9+I9)*Допущения!$B$18</f>
        <v>0.147872103265451</v>
      </c>
      <c r="K9" s="19" t="n">
        <f aca="false">K8+J9</f>
        <v>0.882444582867223</v>
      </c>
      <c r="L9" s="19" t="n">
        <f aca="false">L8+G9*Допущения!$B$17</f>
        <v>0.746750473623534</v>
      </c>
      <c r="M9" s="19" t="n">
        <f aca="false">M8+H9*Допущения!$B$18</f>
        <v>0.126300010884762</v>
      </c>
      <c r="N9" s="19" t="n">
        <f aca="false">N8+I9*Допущения!$B$18</f>
        <v>0.00939409835892618</v>
      </c>
      <c r="O9" s="19" t="n">
        <f aca="false">O8+G9+H9+I9</f>
        <v>1.76488916573445</v>
      </c>
      <c r="P9" s="17" t="n">
        <f aca="false">P8+F9</f>
        <v>0.00387883792419243</v>
      </c>
      <c r="Q9" s="6" t="n">
        <f aca="false">MIN(MATCH(A9,$S$3:$X$3,1),5)</f>
        <v>1</v>
      </c>
    </row>
    <row r="10" customFormat="false" ht="15" hidden="false" customHeight="false" outlineLevel="0" collapsed="false">
      <c r="A10" s="6" t="n">
        <v>3</v>
      </c>
      <c r="B10" s="14" t="n">
        <f aca="false">INDEX($S$4:$X$4,Q10)*(INDEX($S$4:$X$4,Q10+1)/INDEX($S$4:$X$4,Q10))^((LN(A10)-LN(INDEX($S$3:$X$3,Q10)))/(LN(INDEX($S$3:$X$3,Q10+1))-LN(INDEX($S$3:$X$3,Q10))))</f>
        <v>0.178835717215926</v>
      </c>
      <c r="C10" s="33" t="n">
        <f aca="false">C9+B10</f>
        <v>1.6952929806626</v>
      </c>
      <c r="D10" s="36" t="n">
        <f aca="false">Допущения!$B$19*(1-EXP(-Допущения!$B$26*(A10+1)))</f>
        <v>0.00342892347985551</v>
      </c>
      <c r="E10" s="37" t="n">
        <f aca="false">D10-D9</f>
        <v>0.000727318968951516</v>
      </c>
      <c r="F10" s="37" t="n">
        <f aca="false">D10*MIN(1,B10*Допущения!$B$21)</f>
        <v>0.00153303497449623</v>
      </c>
      <c r="G10" s="17" t="n">
        <f aca="false">((B10-F10*Допущения!$B$23)*Допущения!$B$13*Допущения!$B$15+B10*Допущения!$B$14*Допущения!$B$16)/1000</f>
        <v>0.176070397569065</v>
      </c>
      <c r="H10" s="17" t="n">
        <f aca="false">E10*Допущения!$B$27</f>
        <v>0.0680043235969668</v>
      </c>
      <c r="I10" s="17" t="n">
        <f aca="false">F10*Допущения!$B$22/30*Допущения!$B$28</f>
        <v>0.00742566800652791</v>
      </c>
      <c r="J10" s="17" t="n">
        <f aca="false">G10*Допущения!$B$17+(H10+I10)*Допущения!$B$18</f>
        <v>0.12575019458628</v>
      </c>
      <c r="K10" s="19" t="n">
        <f aca="false">K9+J10</f>
        <v>1.0081947774535</v>
      </c>
      <c r="L10" s="19" t="n">
        <f aca="false">L9+G10*Допущения!$B$17</f>
        <v>0.834785672408067</v>
      </c>
      <c r="M10" s="19" t="n">
        <f aca="false">M9+H10*Допущения!$B$18</f>
        <v>0.160302172683245</v>
      </c>
      <c r="N10" s="19" t="n">
        <f aca="false">N9+I10*Допущения!$B$18</f>
        <v>0.0131069323621901</v>
      </c>
      <c r="O10" s="19" t="n">
        <f aca="false">O9+G10+H10+I10</f>
        <v>2.016389554907</v>
      </c>
      <c r="P10" s="17" t="n">
        <f aca="false">P9+F10</f>
        <v>0.00541187289868866</v>
      </c>
      <c r="Q10" s="6" t="n">
        <f aca="false">MIN(MATCH(A10,$S$3:$X$3,1),5)</f>
        <v>1</v>
      </c>
    </row>
    <row r="11" customFormat="false" ht="15" hidden="false" customHeight="false" outlineLevel="0" collapsed="false">
      <c r="A11" s="6" t="n">
        <v>4</v>
      </c>
      <c r="B11" s="14" t="n">
        <f aca="false">INDEX($S$4:$X$4,Q11)*(INDEX($S$4:$X$4,Q11+1)/INDEX($S$4:$X$4,Q11))^((LN(A11)-LN(INDEX($S$3:$X$3,Q11)))/(LN(INDEX($S$3:$X$3,Q11+1))-LN(INDEX($S$3:$X$3,Q11))))</f>
        <v>0.156179156329411</v>
      </c>
      <c r="C11" s="33" t="n">
        <f aca="false">C10+B11</f>
        <v>1.85147213699201</v>
      </c>
      <c r="D11" s="36" t="n">
        <f aca="false">Допущения!$B$19*(1-EXP(-Допущения!$B$26*(A11+1)))</f>
        <v>0.00408376173939809</v>
      </c>
      <c r="E11" s="37" t="n">
        <f aca="false">D11-D10</f>
        <v>0.000654838259542573</v>
      </c>
      <c r="F11" s="37" t="n">
        <f aca="false">D11*MIN(1,B11*Допущения!$B$21)</f>
        <v>0.0015944961577738</v>
      </c>
      <c r="G11" s="17" t="n">
        <f aca="false">((B11-F11*Допущения!$B$23)*Допущения!$B$13*Допущения!$B$15+B11*Допущения!$B$14*Допущения!$B$16)/1000</f>
        <v>0.15375036619195</v>
      </c>
      <c r="H11" s="17" t="n">
        <f aca="false">E11*Допущения!$B$27</f>
        <v>0.0612273772672306</v>
      </c>
      <c r="I11" s="17" t="n">
        <f aca="false">F11*Допущения!$B$22/30*Допущения!$B$28</f>
        <v>0.0077233718097028</v>
      </c>
      <c r="J11" s="17" t="n">
        <f aca="false">G11*Допущения!$B$17+(H11+I11)*Допущения!$B$18</f>
        <v>0.111350557634442</v>
      </c>
      <c r="K11" s="19" t="n">
        <f aca="false">K10+J11</f>
        <v>1.11954533508794</v>
      </c>
      <c r="L11" s="19" t="n">
        <f aca="false">L10+G11*Допущения!$B$17</f>
        <v>0.911660855504042</v>
      </c>
      <c r="M11" s="19" t="n">
        <f aca="false">M10+H11*Допущения!$B$18</f>
        <v>0.19091586131686</v>
      </c>
      <c r="N11" s="19" t="n">
        <f aca="false">N10+I11*Допущения!$B$18</f>
        <v>0.0169686182670415</v>
      </c>
      <c r="O11" s="19" t="n">
        <f aca="false">O10+G11+H11+I11</f>
        <v>2.23909067017589</v>
      </c>
      <c r="P11" s="17" t="n">
        <f aca="false">P10+F11</f>
        <v>0.00700636905646247</v>
      </c>
      <c r="Q11" s="6" t="n">
        <f aca="false">MIN(MATCH(A11,$S$3:$X$3,1),5)</f>
        <v>1</v>
      </c>
    </row>
    <row r="12" customFormat="false" ht="15" hidden="false" customHeight="false" outlineLevel="0" collapsed="false">
      <c r="A12" s="6" t="n">
        <v>5</v>
      </c>
      <c r="B12" s="14" t="n">
        <f aca="false">INDEX($S$4:$X$4,Q12)*(INDEX($S$4:$X$4,Q12+1)/INDEX($S$4:$X$4,Q12))^((LN(A12)-LN(INDEX($S$3:$X$3,Q12)))/(LN(INDEX($S$3:$X$3,Q12+1))-LN(INDEX($S$3:$X$3,Q12))))</f>
        <v>0.140601533556474</v>
      </c>
      <c r="C12" s="33" t="n">
        <f aca="false">C11+B12</f>
        <v>1.99207367054849</v>
      </c>
      <c r="D12" s="36" t="n">
        <f aca="false">Допущения!$B$19*(1-EXP(-Допущения!$B$26*(A12+1)))</f>
        <v>0.00467334232847431</v>
      </c>
      <c r="E12" s="37" t="n">
        <f aca="false">D12-D11</f>
        <v>0.000589580589076226</v>
      </c>
      <c r="F12" s="37" t="n">
        <f aca="false">D12*MIN(1,B12*Допущения!$B$21)</f>
        <v>0.00164269774554468</v>
      </c>
      <c r="G12" s="17" t="n">
        <f aca="false">((B12-F12*Допущения!$B$23)*Допущения!$B$13*Допущения!$B$15+B12*Допущения!$B$14*Допущения!$B$16)/1000</f>
        <v>0.138403804874868</v>
      </c>
      <c r="H12" s="17" t="n">
        <f aca="false">E12*Допущения!$B$27</f>
        <v>0.0551257850786272</v>
      </c>
      <c r="I12" s="17" t="n">
        <f aca="false">F12*Допущения!$B$22/30*Допущения!$B$28</f>
        <v>0.00795684918897242</v>
      </c>
      <c r="J12" s="17" t="n">
        <f aca="false">G12*Допущения!$B$17+(H12+I12)*Допущения!$B$18</f>
        <v>0.100743219571234</v>
      </c>
      <c r="K12" s="19" t="n">
        <f aca="false">K11+J12</f>
        <v>1.22028855465918</v>
      </c>
      <c r="L12" s="19" t="n">
        <f aca="false">L11+G12*Допущения!$B$17</f>
        <v>0.980862757941476</v>
      </c>
      <c r="M12" s="19" t="n">
        <f aca="false">M11+H12*Допущения!$B$18</f>
        <v>0.218478753856174</v>
      </c>
      <c r="N12" s="19" t="n">
        <f aca="false">N11+I12*Допущения!$B$18</f>
        <v>0.0209470428615277</v>
      </c>
      <c r="O12" s="19" t="n">
        <f aca="false">O11+G12+H12+I12</f>
        <v>2.44057710931836</v>
      </c>
      <c r="P12" s="17" t="n">
        <f aca="false">P11+F12</f>
        <v>0.00864906680200715</v>
      </c>
      <c r="Q12" s="6" t="n">
        <f aca="false">MIN(MATCH(A12,$S$3:$X$3,1),5)</f>
        <v>1</v>
      </c>
    </row>
    <row r="13" customFormat="false" ht="15" hidden="false" customHeight="false" outlineLevel="0" collapsed="false">
      <c r="A13" s="6" t="n">
        <v>6</v>
      </c>
      <c r="B13" s="14" t="n">
        <f aca="false">INDEX($S$4:$X$4,Q13)*(INDEX($S$4:$X$4,Q13+1)/INDEX($S$4:$X$4,Q13))^((LN(A13)-LN(INDEX($S$3:$X$3,Q13)))/(LN(INDEX($S$3:$X$3,Q13+1))-LN(INDEX($S$3:$X$3,Q13))))</f>
        <v>0.129034299850276</v>
      </c>
      <c r="C13" s="33" t="n">
        <f aca="false">C12+B13</f>
        <v>2.12110797039876</v>
      </c>
      <c r="D13" s="36" t="n">
        <f aca="false">Допущения!$B$19*(1-EXP(-Допущения!$B$26*(A13+1)))</f>
        <v>0.00520416847668728</v>
      </c>
      <c r="E13" s="37" t="n">
        <f aca="false">D13-D12</f>
        <v>0.00053082614821297</v>
      </c>
      <c r="F13" s="37" t="n">
        <f aca="false">D13*MIN(1,B13*Допущения!$B$21)</f>
        <v>0.00167879058923056</v>
      </c>
      <c r="G13" s="17" t="n">
        <f aca="false">((B13-F13*Допущения!$B$23)*Допущения!$B$13*Допущения!$B$15+B13*Допущения!$B$14*Допущения!$B$16)/1000</f>
        <v>0.127008130660704</v>
      </c>
      <c r="H13" s="17" t="n">
        <f aca="false">E13*Допущения!$B$27</f>
        <v>0.0496322448579127</v>
      </c>
      <c r="I13" s="17" t="n">
        <f aca="false">F13*Допущения!$B$22/30*Допущения!$B$28</f>
        <v>0.00813167460331816</v>
      </c>
      <c r="J13" s="17" t="n">
        <f aca="false">G13*Допущения!$B$17+(H13+I13)*Допущения!$B$18</f>
        <v>0.0923860250609672</v>
      </c>
      <c r="K13" s="19" t="n">
        <f aca="false">K12+J13</f>
        <v>1.31267457972014</v>
      </c>
      <c r="L13" s="19" t="n">
        <f aca="false">L12+G13*Допущения!$B$17</f>
        <v>1.04436682327183</v>
      </c>
      <c r="M13" s="19" t="n">
        <f aca="false">M12+H13*Допущения!$B$18</f>
        <v>0.24329487628513</v>
      </c>
      <c r="N13" s="19" t="n">
        <f aca="false">N12+I13*Допущения!$B$18</f>
        <v>0.0250128801631868</v>
      </c>
      <c r="O13" s="19" t="n">
        <f aca="false">O12+G13+H13+I13</f>
        <v>2.62534915944029</v>
      </c>
      <c r="P13" s="17" t="n">
        <f aca="false">P12+F13</f>
        <v>0.0103278573912377</v>
      </c>
      <c r="Q13" s="6" t="n">
        <f aca="false">MIN(MATCH(A13,$S$3:$X$3,1),5)</f>
        <v>1</v>
      </c>
    </row>
    <row r="14" customFormat="false" ht="15" hidden="false" customHeight="false" outlineLevel="0" collapsed="false">
      <c r="A14" s="6" t="n">
        <v>7</v>
      </c>
      <c r="B14" s="14" t="n">
        <f aca="false">INDEX($S$4:$X$4,Q14)*(INDEX($S$4:$X$4,Q14+1)/INDEX($S$4:$X$4,Q14))^((LN(A14)-LN(INDEX($S$3:$X$3,Q14)))/(LN(INDEX($S$3:$X$3,Q14+1))-LN(INDEX($S$3:$X$3,Q14))))</f>
        <v>0.12</v>
      </c>
      <c r="C14" s="33" t="n">
        <f aca="false">C13+B14</f>
        <v>2.24110797039876</v>
      </c>
      <c r="D14" s="36" t="n">
        <f aca="false">Допущения!$B$19*(1-EXP(-Допущения!$B$26*(A14+1)))</f>
        <v>0.00568209533664058</v>
      </c>
      <c r="E14" s="37" t="n">
        <f aca="false">D14-D13</f>
        <v>0.0004779268599533</v>
      </c>
      <c r="F14" s="37" t="n">
        <f aca="false">D14*MIN(1,B14*Допущения!$B$21)</f>
        <v>0.00170462860099217</v>
      </c>
      <c r="G14" s="17" t="n">
        <f aca="false">((B14-F14*Допущения!$B$23)*Допущения!$B$13*Допущения!$B$15+B14*Допущения!$B$14*Допущения!$B$16)/1000</f>
        <v>0.118107950055546</v>
      </c>
      <c r="H14" s="17" t="n">
        <f aca="false">E14*Допущения!$B$27</f>
        <v>0.0446861614056335</v>
      </c>
      <c r="I14" s="17" t="n">
        <f aca="false">F14*Допущения!$B$22/30*Допущения!$B$28</f>
        <v>0.00825682797586505</v>
      </c>
      <c r="J14" s="17" t="n">
        <f aca="false">G14*Допущения!$B$17+(H14+I14)*Допущения!$B$18</f>
        <v>0.0855254697185225</v>
      </c>
      <c r="K14" s="19" t="n">
        <f aca="false">K13+J14</f>
        <v>1.39820004943867</v>
      </c>
      <c r="L14" s="19" t="n">
        <f aca="false">L13+G14*Допущения!$B$17</f>
        <v>1.1034207982996</v>
      </c>
      <c r="M14" s="19" t="n">
        <f aca="false">M13+H14*Допущения!$B$18</f>
        <v>0.265637956987947</v>
      </c>
      <c r="N14" s="19" t="n">
        <f aca="false">N13+I14*Допущения!$B$18</f>
        <v>0.0291412941511193</v>
      </c>
      <c r="O14" s="19" t="n">
        <f aca="false">O13+G14+H14+I14</f>
        <v>2.79640009887734</v>
      </c>
      <c r="P14" s="17" t="n">
        <f aca="false">P13+F14</f>
        <v>0.0120324859922299</v>
      </c>
      <c r="Q14" s="6" t="n">
        <f aca="false">MIN(MATCH(A14,$S$3:$X$3,1),5)</f>
        <v>2</v>
      </c>
    </row>
    <row r="15" customFormat="false" ht="15" hidden="false" customHeight="false" outlineLevel="0" collapsed="false">
      <c r="A15" s="6" t="n">
        <v>8</v>
      </c>
      <c r="B15" s="14" t="n">
        <f aca="false">INDEX($S$4:$X$4,Q15)*(INDEX($S$4:$X$4,Q15+1)/INDEX($S$4:$X$4,Q15))^((LN(A15)-LN(INDEX($S$3:$X$3,Q15)))/(LN(INDEX($S$3:$X$3,Q15+1))-LN(INDEX($S$3:$X$3,Q15))))</f>
        <v>0.110737462692891</v>
      </c>
      <c r="C15" s="33" t="n">
        <f aca="false">C14+B15</f>
        <v>2.35184543309166</v>
      </c>
      <c r="D15" s="36" t="n">
        <f aca="false">Допущения!$B$19*(1-EXP(-Допущения!$B$26*(A15+1)))</f>
        <v>0.00611239456781783</v>
      </c>
      <c r="E15" s="37" t="n">
        <f aca="false">D15-D14</f>
        <v>0.000430299231177249</v>
      </c>
      <c r="F15" s="37" t="n">
        <f aca="false">D15*MIN(1,B15*Допущения!$B$21)</f>
        <v>0.00169217766354489</v>
      </c>
      <c r="G15" s="17" t="n">
        <f aca="false">((B15-F15*Допущения!$B$23)*Допущения!$B$13*Допущения!$B$15+B15*Допущения!$B$14*Допущения!$B$16)/1000</f>
        <v>0.108985023158666</v>
      </c>
      <c r="H15" s="17" t="n">
        <f aca="false">E15*Допущения!$B$27</f>
        <v>0.0402329781150728</v>
      </c>
      <c r="I15" s="17" t="n">
        <f aca="false">F15*Допущения!$B$22/30*Допущения!$B$28</f>
        <v>0.00819651850518</v>
      </c>
      <c r="J15" s="17" t="n">
        <f aca="false">G15*Допущения!$B$17+(H15+I15)*Допущения!$B$18</f>
        <v>0.0787072598894596</v>
      </c>
      <c r="K15" s="19" t="n">
        <f aca="false">K14+J15</f>
        <v>1.47690730932813</v>
      </c>
      <c r="L15" s="19" t="n">
        <f aca="false">L14+G15*Допущения!$B$17</f>
        <v>1.15791330987893</v>
      </c>
      <c r="M15" s="19" t="n">
        <f aca="false">M14+H15*Допущения!$B$18</f>
        <v>0.285754446045484</v>
      </c>
      <c r="N15" s="19" t="n">
        <f aca="false">N14+I15*Допущения!$B$18</f>
        <v>0.0332395534037093</v>
      </c>
      <c r="O15" s="19" t="n">
        <f aca="false">O14+G15+H15+I15</f>
        <v>2.95381461865625</v>
      </c>
      <c r="P15" s="17" t="n">
        <f aca="false">P14+F15</f>
        <v>0.0137246636557748</v>
      </c>
      <c r="Q15" s="6" t="n">
        <f aca="false">MIN(MATCH(A15,$S$3:$X$3,1),5)</f>
        <v>2</v>
      </c>
    </row>
    <row r="16" customFormat="false" ht="15" hidden="false" customHeight="false" outlineLevel="0" collapsed="false">
      <c r="A16" s="6" t="n">
        <v>9</v>
      </c>
      <c r="B16" s="14" t="n">
        <f aca="false">INDEX($S$4:$X$4,Q16)*(INDEX($S$4:$X$4,Q16+1)/INDEX($S$4:$X$4,Q16))^((LN(A16)-LN(INDEX($S$3:$X$3,Q16)))/(LN(INDEX($S$3:$X$3,Q16+1))-LN(INDEX($S$3:$X$3,Q16))))</f>
        <v>0.103162613951086</v>
      </c>
      <c r="C16" s="33" t="n">
        <f aca="false">C15+B16</f>
        <v>2.45500804704274</v>
      </c>
      <c r="D16" s="36" t="n">
        <f aca="false">Допущения!$B$19*(1-EXP(-Допущения!$B$26*(A16+1)))</f>
        <v>0.006499812484379</v>
      </c>
      <c r="E16" s="37" t="n">
        <f aca="false">D16-D15</f>
        <v>0.000387417916561174</v>
      </c>
      <c r="F16" s="37" t="n">
        <f aca="false">D16*MIN(1,B16*Допущения!$B$21)</f>
        <v>0.0016763441152011</v>
      </c>
      <c r="G16" s="17" t="n">
        <f aca="false">((B16-F16*Допущения!$B$23)*Допущения!$B$13*Допущения!$B$15+B16*Допущения!$B$14*Допущения!$B$16)/1000</f>
        <v>0.101524652159599</v>
      </c>
      <c r="H16" s="17" t="n">
        <f aca="false">E16*Допущения!$B$27</f>
        <v>0.0362235751984698</v>
      </c>
      <c r="I16" s="17" t="n">
        <f aca="false">F16*Допущения!$B$22/30*Допущения!$B$28</f>
        <v>0.00811982444710412</v>
      </c>
      <c r="J16" s="17" t="n">
        <f aca="false">G16*Допущения!$B$17+(H16+I16)*Допущения!$B$18</f>
        <v>0.0729340259025862</v>
      </c>
      <c r="K16" s="19" t="n">
        <f aca="false">K15+J16</f>
        <v>1.54984133523071</v>
      </c>
      <c r="L16" s="19" t="n">
        <f aca="false">L15+G16*Допущения!$B$17</f>
        <v>1.20867563595873</v>
      </c>
      <c r="M16" s="19" t="n">
        <f aca="false">M15+H16*Допущения!$B$18</f>
        <v>0.303866233644718</v>
      </c>
      <c r="N16" s="19" t="n">
        <f aca="false">N15+I16*Допущения!$B$18</f>
        <v>0.0372994656272614</v>
      </c>
      <c r="O16" s="19" t="n">
        <f aca="false">O15+G16+H16+I16</f>
        <v>3.09968267046143</v>
      </c>
      <c r="P16" s="17" t="n">
        <f aca="false">P15+F16</f>
        <v>0.0154010077709759</v>
      </c>
      <c r="Q16" s="6" t="n">
        <f aca="false">MIN(MATCH(A16,$S$3:$X$3,1),5)</f>
        <v>2</v>
      </c>
    </row>
    <row r="17" customFormat="false" ht="15" hidden="false" customHeight="false" outlineLevel="0" collapsed="false">
      <c r="A17" s="6" t="n">
        <v>10</v>
      </c>
      <c r="B17" s="14" t="n">
        <f aca="false">INDEX($S$4:$X$4,Q17)*(INDEX($S$4:$X$4,Q17+1)/INDEX($S$4:$X$4,Q17))^((LN(A17)-LN(INDEX($S$3:$X$3,Q17)))/(LN(INDEX($S$3:$X$3,Q17+1))-LN(INDEX($S$3:$X$3,Q17))))</f>
        <v>0.096826813461993</v>
      </c>
      <c r="C17" s="33" t="n">
        <f aca="false">C16+B17</f>
        <v>2.55183486050473</v>
      </c>
      <c r="D17" s="36" t="n">
        <f aca="false">Допущения!$B$19*(1-EXP(-Допущения!$B$26*(A17+1)))</f>
        <v>0.0068486224082591</v>
      </c>
      <c r="E17" s="37" t="n">
        <f aca="false">D17-D16</f>
        <v>0.000348809923880099</v>
      </c>
      <c r="F17" s="37" t="n">
        <f aca="false">D17*MIN(1,B17*Допущения!$B$21)</f>
        <v>0.00165782571099032</v>
      </c>
      <c r="G17" s="17" t="n">
        <f aca="false">((B17-F17*Допущения!$B$23)*Допущения!$B$13*Допущения!$B$15+B17*Допущения!$B$14*Допущения!$B$16)/1000</f>
        <v>0.0952848886716697</v>
      </c>
      <c r="H17" s="17" t="n">
        <f aca="false">E17*Допущения!$B$27</f>
        <v>0.0326137278827892</v>
      </c>
      <c r="I17" s="17" t="n">
        <f aca="false">F17*Допущения!$B$22/30*Допущения!$B$28</f>
        <v>0.00803012556614737</v>
      </c>
      <c r="J17" s="17" t="n">
        <f aca="false">G17*Допущения!$B$17+(H17+I17)*Допущения!$B$18</f>
        <v>0.0679643710603031</v>
      </c>
      <c r="K17" s="19" t="n">
        <f aca="false">K16+J17</f>
        <v>1.61780570629102</v>
      </c>
      <c r="L17" s="19" t="n">
        <f aca="false">L16+G17*Допущения!$B$17</f>
        <v>1.25631808029457</v>
      </c>
      <c r="M17" s="19" t="n">
        <f aca="false">M16+H17*Допущения!$B$18</f>
        <v>0.320173097586113</v>
      </c>
      <c r="N17" s="19" t="n">
        <f aca="false">N16+I17*Допущения!$B$18</f>
        <v>0.0413145284103351</v>
      </c>
      <c r="O17" s="19" t="n">
        <f aca="false">O16+G17+H17+I17</f>
        <v>3.23561141258203</v>
      </c>
      <c r="P17" s="17" t="n">
        <f aca="false">P16+F17</f>
        <v>0.0170588334819662</v>
      </c>
      <c r="Q17" s="6" t="n">
        <f aca="false">MIN(MATCH(A17,$S$3:$X$3,1),5)</f>
        <v>2</v>
      </c>
    </row>
    <row r="18" customFormat="false" ht="15" hidden="false" customHeight="false" outlineLevel="0" collapsed="false">
      <c r="A18" s="6" t="n">
        <v>11</v>
      </c>
      <c r="B18" s="14" t="n">
        <f aca="false">INDEX($S$4:$X$4,Q18)*(INDEX($S$4:$X$4,Q18+1)/INDEX($S$4:$X$4,Q18))^((LN(A18)-LN(INDEX($S$3:$X$3,Q18)))/(LN(INDEX($S$3:$X$3,Q18+1))-LN(INDEX($S$3:$X$3,Q18))))</f>
        <v>0.0914312615556972</v>
      </c>
      <c r="C18" s="33" t="n">
        <f aca="false">C17+B18</f>
        <v>2.64326612206043</v>
      </c>
      <c r="D18" s="36" t="n">
        <f aca="false">Допущения!$B$19*(1-EXP(-Допущения!$B$26*(A18+1)))</f>
        <v>0.00716267180503765</v>
      </c>
      <c r="E18" s="37" t="n">
        <f aca="false">D18-D17</f>
        <v>0.00031404939677855</v>
      </c>
      <c r="F18" s="37" t="n">
        <f aca="false">D18*MIN(1,B18*Допущения!$B$21)</f>
        <v>0.00163723029811004</v>
      </c>
      <c r="G18" s="17" t="n">
        <f aca="false">((B18-F18*Допущения!$B$23)*Допущения!$B$13*Допущения!$B$15+B18*Допущения!$B$14*Допущения!$B$16)/1000</f>
        <v>0.0899713821962638</v>
      </c>
      <c r="H18" s="17" t="n">
        <f aca="false">E18*Допущения!$B$27</f>
        <v>0.0293636185987945</v>
      </c>
      <c r="I18" s="17" t="n">
        <f aca="false">F18*Допущения!$B$22/30*Допущения!$B$28</f>
        <v>0.00793036613400746</v>
      </c>
      <c r="J18" s="17" t="n">
        <f aca="false">G18*Допущения!$B$17+(H18+I18)*Допущения!$B$18</f>
        <v>0.0636326834645329</v>
      </c>
      <c r="K18" s="19" t="n">
        <f aca="false">K17+J18</f>
        <v>1.68143838975555</v>
      </c>
      <c r="L18" s="19" t="n">
        <f aca="false">L17+G18*Допущения!$B$17</f>
        <v>1.3013037713927</v>
      </c>
      <c r="M18" s="19" t="n">
        <f aca="false">M17+H18*Допущения!$B$18</f>
        <v>0.33485490688551</v>
      </c>
      <c r="N18" s="19" t="n">
        <f aca="false">N17+I18*Допущения!$B$18</f>
        <v>0.0452797114773388</v>
      </c>
      <c r="O18" s="19" t="n">
        <f aca="false">O17+G18+H18+I18</f>
        <v>3.3628767795111</v>
      </c>
      <c r="P18" s="17" t="n">
        <f aca="false">P17+F18</f>
        <v>0.0186960637800762</v>
      </c>
      <c r="Q18" s="6" t="n">
        <f aca="false">MIN(MATCH(A18,$S$3:$X$3,1),5)</f>
        <v>2</v>
      </c>
    </row>
    <row r="19" customFormat="false" ht="15" hidden="false" customHeight="false" outlineLevel="0" collapsed="false">
      <c r="A19" s="6" t="n">
        <v>12</v>
      </c>
      <c r="B19" s="14" t="n">
        <f aca="false">INDEX($S$4:$X$4,Q19)*(INDEX($S$4:$X$4,Q19+1)/INDEX($S$4:$X$4,Q19))^((LN(A19)-LN(INDEX($S$3:$X$3,Q19)))/(LN(INDEX($S$3:$X$3,Q19+1))-LN(INDEX($S$3:$X$3,Q19))))</f>
        <v>0.0867684713774517</v>
      </c>
      <c r="C19" s="33" t="n">
        <f aca="false">C18+B19</f>
        <v>2.73003459343788</v>
      </c>
      <c r="D19" s="36" t="n">
        <f aca="false">Допущения!$B$19*(1-EXP(-Допущения!$B$26*(A19+1)))</f>
        <v>0.00744542472250016</v>
      </c>
      <c r="E19" s="37" t="n">
        <f aca="false">D19-D18</f>
        <v>0.000282752917462505</v>
      </c>
      <c r="F19" s="37" t="n">
        <f aca="false">D19*MIN(1,B19*Допущения!$B$21)</f>
        <v>0.00161507030481807</v>
      </c>
      <c r="G19" s="17" t="n">
        <f aca="false">((B19-F19*Допущения!$B$23)*Допущения!$B$13*Допущения!$B$15+B19*Допущения!$B$14*Допущения!$B$16)/1000</f>
        <v>0.0853797305103298</v>
      </c>
      <c r="H19" s="17" t="n">
        <f aca="false">E19*Допущения!$B$27</f>
        <v>0.0264373977827442</v>
      </c>
      <c r="I19" s="17" t="n">
        <f aca="false">F19*Допущения!$B$22/30*Допущения!$B$28</f>
        <v>0.00782302823503542</v>
      </c>
      <c r="J19" s="17" t="n">
        <f aca="false">G19*Допущения!$B$17+(H19+I19)*Допущения!$B$18</f>
        <v>0.0598200782640547</v>
      </c>
      <c r="K19" s="19" t="n">
        <f aca="false">K18+J19</f>
        <v>1.7412584680196</v>
      </c>
      <c r="L19" s="19" t="n">
        <f aca="false">L18+G19*Допущения!$B$17</f>
        <v>1.34399363664786</v>
      </c>
      <c r="M19" s="19" t="n">
        <f aca="false">M18+H19*Допущения!$B$18</f>
        <v>0.348073605776882</v>
      </c>
      <c r="N19" s="19" t="n">
        <f aca="false">N18+I19*Допущения!$B$18</f>
        <v>0.0491912255948565</v>
      </c>
      <c r="O19" s="19" t="n">
        <f aca="false">O18+G19+H19+I19</f>
        <v>3.48251693603921</v>
      </c>
      <c r="P19" s="17" t="n">
        <f aca="false">P18+F19</f>
        <v>0.0203111340848943</v>
      </c>
      <c r="Q19" s="6" t="n">
        <f aca="false">MIN(MATCH(A19,$S$3:$X$3,1),5)</f>
        <v>2</v>
      </c>
    </row>
    <row r="20" customFormat="false" ht="15" hidden="false" customHeight="false" outlineLevel="0" collapsed="false">
      <c r="A20" s="6" t="n">
        <v>13</v>
      </c>
      <c r="B20" s="14" t="n">
        <f aca="false">INDEX($S$4:$X$4,Q20)*(INDEX($S$4:$X$4,Q20+1)/INDEX($S$4:$X$4,Q20))^((LN(A20)-LN(INDEX($S$3:$X$3,Q20)))/(LN(INDEX($S$3:$X$3,Q20+1))-LN(INDEX($S$3:$X$3,Q20))))</f>
        <v>0.0826893978099684</v>
      </c>
      <c r="C20" s="33" t="n">
        <f aca="false">C19+B20</f>
        <v>2.81272399124785</v>
      </c>
      <c r="D20" s="36" t="n">
        <f aca="false">Допущения!$B$19*(1-EXP(-Допущения!$B$26*(A20+1)))</f>
        <v>0.0077</v>
      </c>
      <c r="E20" s="37" t="n">
        <f aca="false">D20-D19</f>
        <v>0.000254575277499843</v>
      </c>
      <c r="F20" s="37" t="n">
        <f aca="false">D20*MIN(1,B20*Допущения!$B$21)</f>
        <v>0.00159177090784189</v>
      </c>
      <c r="G20" s="17" t="n">
        <f aca="false">((B20-F20*Допущения!$B$23)*Допущения!$B$13*Допущения!$B$15+B20*Допущения!$B$14*Допущения!$B$16)/1000</f>
        <v>0.0813631012137954</v>
      </c>
      <c r="H20" s="17" t="n">
        <f aca="false">E20*Допущения!$B$27</f>
        <v>0.0238027884462353</v>
      </c>
      <c r="I20" s="17" t="n">
        <f aca="false">F20*Допущения!$B$22/30*Допущения!$B$28</f>
        <v>0.00771017132728338</v>
      </c>
      <c r="J20" s="17" t="n">
        <f aca="false">G20*Допущения!$B$17+(H20+I20)*Допущения!$B$18</f>
        <v>0.056438030493657</v>
      </c>
      <c r="K20" s="19" t="n">
        <f aca="false">K19+J20</f>
        <v>1.79769649851326</v>
      </c>
      <c r="L20" s="19" t="n">
        <f aca="false">L19+G20*Допущения!$B$17</f>
        <v>1.38467518725476</v>
      </c>
      <c r="M20" s="19" t="n">
        <f aca="false">M19+H20*Допущения!$B$18</f>
        <v>0.359975</v>
      </c>
      <c r="N20" s="19" t="n">
        <f aca="false">N19+I20*Допущения!$B$18</f>
        <v>0.0530463112584982</v>
      </c>
      <c r="O20" s="19" t="n">
        <f aca="false">O19+G20+H20+I20</f>
        <v>3.59539299702652</v>
      </c>
      <c r="P20" s="17" t="n">
        <f aca="false">P19+F20</f>
        <v>0.0219029049927362</v>
      </c>
      <c r="Q20" s="6" t="n">
        <f aca="false">MIN(MATCH(A20,$S$3:$X$3,1),5)</f>
        <v>2</v>
      </c>
    </row>
    <row r="21" customFormat="false" ht="15" hidden="false" customHeight="false" outlineLevel="0" collapsed="false">
      <c r="A21" s="6" t="n">
        <v>14</v>
      </c>
      <c r="B21" s="14" t="n">
        <f aca="false">INDEX($S$4:$X$4,Q21)*(INDEX($S$4:$X$4,Q21+1)/INDEX($S$4:$X$4,Q21))^((LN(A21)-LN(INDEX($S$3:$X$3,Q21)))/(LN(INDEX($S$3:$X$3,Q21+1))-LN(INDEX($S$3:$X$3,Q21))))</f>
        <v>0.0790839281234701</v>
      </c>
      <c r="C21" s="33" t="n">
        <f aca="false">C20+B21</f>
        <v>2.89180791937132</v>
      </c>
      <c r="D21" s="36" t="n">
        <f aca="false">Допущения!$B$19*(1-EXP(-Допущения!$B$26*(A21+1)))</f>
        <v>0.00792920567008019</v>
      </c>
      <c r="E21" s="37" t="n">
        <f aca="false">D21-D20</f>
        <v>0.000229205670080191</v>
      </c>
      <c r="F21" s="37" t="n">
        <f aca="false">D21*MIN(1,B21*Допущения!$B$21)</f>
        <v>0.00156768182822208</v>
      </c>
      <c r="G21" s="17" t="n">
        <f aca="false">((B21-F21*Допущения!$B$23)*Допущения!$B$13*Допущения!$B$15+B21*Допущения!$B$14*Допущения!$B$16)/1000</f>
        <v>0.077813014382894</v>
      </c>
      <c r="H21" s="17" t="n">
        <f aca="false">E21*Допущения!$B$27</f>
        <v>0.0214307301524978</v>
      </c>
      <c r="I21" s="17" t="n">
        <f aca="false">F21*Допущения!$B$22/30*Допущения!$B$28</f>
        <v>0.00759348937885079</v>
      </c>
      <c r="J21" s="17" t="n">
        <f aca="false">G21*Допущения!$B$17+(H21+I21)*Допущения!$B$18</f>
        <v>0.0534186169571213</v>
      </c>
      <c r="K21" s="19" t="n">
        <f aca="false">K20+J21</f>
        <v>1.85111511547038</v>
      </c>
      <c r="L21" s="19" t="n">
        <f aca="false">L20+G21*Допущения!$B$17</f>
        <v>1.42358169444621</v>
      </c>
      <c r="M21" s="19" t="n">
        <f aca="false">M20+H21*Допущения!$B$18</f>
        <v>0.370690365076249</v>
      </c>
      <c r="N21" s="19" t="n">
        <f aca="false">N20+I21*Допущения!$B$18</f>
        <v>0.0568430559479236</v>
      </c>
      <c r="O21" s="19" t="n">
        <f aca="false">O20+G21+H21+I21</f>
        <v>3.70223023094076</v>
      </c>
      <c r="P21" s="17" t="n">
        <f aca="false">P20+F21</f>
        <v>0.0234705868209583</v>
      </c>
      <c r="Q21" s="6" t="n">
        <f aca="false">MIN(MATCH(A21,$S$3:$X$3,1),5)</f>
        <v>2</v>
      </c>
    </row>
    <row r="22" customFormat="false" ht="15" hidden="false" customHeight="false" outlineLevel="0" collapsed="false">
      <c r="A22" s="6" t="n">
        <v>15</v>
      </c>
      <c r="B22" s="14" t="n">
        <f aca="false">INDEX($S$4:$X$4,Q22)*(INDEX($S$4:$X$4,Q22+1)/INDEX($S$4:$X$4,Q22))^((LN(A22)-LN(INDEX($S$3:$X$3,Q22)))/(LN(INDEX($S$3:$X$3,Q22+1))-LN(INDEX($S$3:$X$3,Q22))))</f>
        <v>0.0758687655301148</v>
      </c>
      <c r="C22" s="33" t="n">
        <f aca="false">C21+B22</f>
        <v>2.96767668490144</v>
      </c>
      <c r="D22" s="36" t="n">
        <f aca="false">Допущения!$B$19*(1-EXP(-Допущения!$B$26*(A22+1)))</f>
        <v>0.0081355699318139</v>
      </c>
      <c r="E22" s="37" t="n">
        <f aca="false">D22-D21</f>
        <v>0.000206364261733706</v>
      </c>
      <c r="F22" s="37" t="n">
        <f aca="false">D22*MIN(1,B22*Допущения!$B$21)</f>
        <v>0.0015430891190266</v>
      </c>
      <c r="G22" s="17" t="n">
        <f aca="false">((B22-F22*Допущения!$B$23)*Допущения!$B$13*Допущения!$B$15+B22*Допущения!$B$14*Допущения!$B$16)/1000</f>
        <v>0.0746474072347356</v>
      </c>
      <c r="H22" s="17" t="n">
        <f aca="false">E22*Допущения!$B$27</f>
        <v>0.0192950584721016</v>
      </c>
      <c r="I22" s="17" t="n">
        <f aca="false">F22*Допущения!$B$22/30*Допущения!$B$28</f>
        <v>0.00747436796485518</v>
      </c>
      <c r="J22" s="17" t="n">
        <f aca="false">G22*Допущения!$B$17+(H22+I22)*Допущения!$B$18</f>
        <v>0.0507084168358462</v>
      </c>
      <c r="K22" s="19" t="n">
        <f aca="false">K21+J22</f>
        <v>1.90182353230623</v>
      </c>
      <c r="L22" s="19" t="n">
        <f aca="false">L21+G22*Допущения!$B$17</f>
        <v>1.46090539806358</v>
      </c>
      <c r="M22" s="19" t="n">
        <f aca="false">M21+H22*Допущения!$B$18</f>
        <v>0.3803378943123</v>
      </c>
      <c r="N22" s="19" t="n">
        <f aca="false">N21+I22*Допущения!$B$18</f>
        <v>0.0605802399303512</v>
      </c>
      <c r="O22" s="19" t="n">
        <f aca="false">O21+G22+H22+I22</f>
        <v>3.80364706461246</v>
      </c>
      <c r="P22" s="17" t="n">
        <f aca="false">P21+F22</f>
        <v>0.0250136759399849</v>
      </c>
      <c r="Q22" s="6" t="n">
        <f aca="false">MIN(MATCH(A22,$S$3:$X$3,1),5)</f>
        <v>2</v>
      </c>
    </row>
    <row r="23" customFormat="false" ht="15" hidden="false" customHeight="false" outlineLevel="0" collapsed="false">
      <c r="A23" s="6" t="n">
        <v>16</v>
      </c>
      <c r="B23" s="14" t="n">
        <f aca="false">INDEX($S$4:$X$4,Q23)*(INDEX($S$4:$X$4,Q23+1)/INDEX($S$4:$X$4,Q23))^((LN(A23)-LN(INDEX($S$3:$X$3,Q23)))/(LN(INDEX($S$3:$X$3,Q23+1))-LN(INDEX($S$3:$X$3,Q23))))</f>
        <v>0.0729796128348338</v>
      </c>
      <c r="C23" s="33" t="n">
        <f aca="false">C22+B23</f>
        <v>3.04065629773627</v>
      </c>
      <c r="D23" s="36" t="n">
        <f aca="false">Допущения!$B$19*(1-EXP(-Допущения!$B$26*(A23+1)))</f>
        <v>0.00832136903750792</v>
      </c>
      <c r="E23" s="37" t="n">
        <f aca="false">D23-D22</f>
        <v>0.000185799105694022</v>
      </c>
      <c r="F23" s="37" t="n">
        <f aca="false">D23*MIN(1,B23*Допущения!$B$21)</f>
        <v>0.00151822572653275</v>
      </c>
      <c r="G23" s="17" t="n">
        <f aca="false">((B23-F23*Допущения!$B$23)*Допущения!$B$13*Допущения!$B$15+B23*Допущения!$B$14*Допущения!$B$16)/1000</f>
        <v>0.0718029344530785</v>
      </c>
      <c r="H23" s="17" t="n">
        <f aca="false">E23*Допущения!$B$27</f>
        <v>0.017372216382391</v>
      </c>
      <c r="I23" s="17" t="n">
        <f aca="false">F23*Допущения!$B$22/30*Допущения!$B$28</f>
        <v>0.00735393542336278</v>
      </c>
      <c r="J23" s="17" t="n">
        <f aca="false">G23*Допущения!$B$17+(H23+I23)*Допущения!$B$18</f>
        <v>0.0482645431294162</v>
      </c>
      <c r="K23" s="19" t="n">
        <f aca="false">K22+J23</f>
        <v>1.95008807543564</v>
      </c>
      <c r="L23" s="19" t="n">
        <f aca="false">L22+G23*Допущения!$B$17</f>
        <v>1.49680686529012</v>
      </c>
      <c r="M23" s="19" t="n">
        <f aca="false">M22+H23*Допущения!$B$18</f>
        <v>0.389024002503495</v>
      </c>
      <c r="N23" s="19" t="n">
        <f aca="false">N22+I23*Допущения!$B$18</f>
        <v>0.0642572076420326</v>
      </c>
      <c r="O23" s="19" t="n">
        <f aca="false">O22+G23+H23+I23</f>
        <v>3.90017615087129</v>
      </c>
      <c r="P23" s="17" t="n">
        <f aca="false">P22+F23</f>
        <v>0.0265319016665176</v>
      </c>
      <c r="Q23" s="6" t="n">
        <f aca="false">MIN(MATCH(A23,$S$3:$X$3,1),5)</f>
        <v>2</v>
      </c>
    </row>
    <row r="24" customFormat="false" ht="15" hidden="false" customHeight="false" outlineLevel="0" collapsed="false">
      <c r="A24" s="6" t="n">
        <v>17</v>
      </c>
      <c r="B24" s="14" t="n">
        <f aca="false">INDEX($S$4:$X$4,Q24)*(INDEX($S$4:$X$4,Q24+1)/INDEX($S$4:$X$4,Q24))^((LN(A24)-LN(INDEX($S$3:$X$3,Q24)))/(LN(INDEX($S$3:$X$3,Q24+1))-LN(INDEX($S$3:$X$3,Q24))))</f>
        <v>0.0703659646130013</v>
      </c>
      <c r="C24" s="33" t="n">
        <f aca="false">C23+B24</f>
        <v>3.11102226234927</v>
      </c>
      <c r="D24" s="36" t="n">
        <f aca="false">Допущения!$B$19*(1-EXP(-Допущения!$B$26*(A24+1)))</f>
        <v>0.00848865240036677</v>
      </c>
      <c r="E24" s="37" t="n">
        <f aca="false">D24-D23</f>
        <v>0.000167283362858848</v>
      </c>
      <c r="F24" s="37" t="n">
        <f aca="false">D24*MIN(1,B24*Допущения!$B$21)</f>
        <v>0.00149328053604069</v>
      </c>
      <c r="G24" s="17" t="n">
        <f aca="false">((B24-F24*Допущения!$B$23)*Допущения!$B$13*Допущения!$B$15+B24*Допущения!$B$14*Допущения!$B$16)/1000</f>
        <v>0.06922983799486</v>
      </c>
      <c r="H24" s="17" t="n">
        <f aca="false">E24*Допущения!$B$27</f>
        <v>0.0156409944273023</v>
      </c>
      <c r="I24" s="17" t="n">
        <f aca="false">F24*Допущения!$B$22/30*Допущения!$B$28</f>
        <v>0.00723310667122388</v>
      </c>
      <c r="J24" s="17" t="n">
        <f aca="false">G24*Допущения!$B$17+(H24+I24)*Допущения!$B$18</f>
        <v>0.0460519695466931</v>
      </c>
      <c r="K24" s="19" t="n">
        <f aca="false">K23+J24</f>
        <v>1.99614004498234</v>
      </c>
      <c r="L24" s="19" t="n">
        <f aca="false">L23+G24*Допущения!$B$17</f>
        <v>1.53142178428755</v>
      </c>
      <c r="M24" s="19" t="n">
        <f aca="false">M23+H24*Допущения!$B$18</f>
        <v>0.396844499717146</v>
      </c>
      <c r="N24" s="19" t="n">
        <f aca="false">N23+I24*Допущения!$B$18</f>
        <v>0.0678737609776445</v>
      </c>
      <c r="O24" s="19" t="n">
        <f aca="false">O23+G24+H24+I24</f>
        <v>3.99228008996468</v>
      </c>
      <c r="P24" s="17" t="n">
        <f aca="false">P23+F24</f>
        <v>0.0280251822025583</v>
      </c>
      <c r="Q24" s="6" t="n">
        <f aca="false">MIN(MATCH(A24,$S$3:$X$3,1),5)</f>
        <v>2</v>
      </c>
    </row>
    <row r="25" customFormat="false" ht="15" hidden="false" customHeight="false" outlineLevel="0" collapsed="false">
      <c r="A25" s="6" t="n">
        <v>18</v>
      </c>
      <c r="B25" s="14" t="n">
        <f aca="false">INDEX($S$4:$X$4,Q25)*(INDEX($S$4:$X$4,Q25+1)/INDEX($S$4:$X$4,Q25))^((LN(A25)-LN(INDEX($S$3:$X$3,Q25)))/(LN(INDEX($S$3:$X$3,Q25+1))-LN(INDEX($S$3:$X$3,Q25))))</f>
        <v>0.0679875395561412</v>
      </c>
      <c r="C25" s="33" t="n">
        <f aca="false">C24+B25</f>
        <v>3.17900980190541</v>
      </c>
      <c r="D25" s="36" t="n">
        <f aca="false">Допущения!$B$19*(1-EXP(-Допущения!$B$26*(A25+1)))</f>
        <v>0.00863926520006156</v>
      </c>
      <c r="E25" s="37" t="n">
        <f aca="false">D25-D24</f>
        <v>0.000150612799694793</v>
      </c>
      <c r="F25" s="37" t="n">
        <f aca="false">D25*MIN(1,B25*Допущения!$B$21)</f>
        <v>0.00146840596131295</v>
      </c>
      <c r="G25" s="17" t="n">
        <f aca="false">((B25-F25*Допущения!$B$23)*Допущения!$B$13*Допущения!$B$15+B25*Допущения!$B$14*Допущения!$B$16)/1000</f>
        <v>0.0668884325408882</v>
      </c>
      <c r="H25" s="17" t="n">
        <f aca="false">E25*Допущения!$B$27</f>
        <v>0.0140822967714631</v>
      </c>
      <c r="I25" s="17" t="n">
        <f aca="false">F25*Допущения!$B$22/30*Допущения!$B$28</f>
        <v>0.00711261996556835</v>
      </c>
      <c r="J25" s="17" t="n">
        <f aca="false">G25*Допущения!$B$17+(H25+I25)*Допущения!$B$18</f>
        <v>0.0440416746389598</v>
      </c>
      <c r="K25" s="19" t="n">
        <f aca="false">K24+J25</f>
        <v>2.0401817196213</v>
      </c>
      <c r="L25" s="19" t="n">
        <f aca="false">L24+G25*Допущения!$B$17</f>
        <v>1.56486600055799</v>
      </c>
      <c r="M25" s="19" t="n">
        <f aca="false">M24+H25*Допущения!$B$18</f>
        <v>0.403885648102878</v>
      </c>
      <c r="N25" s="19" t="n">
        <f aca="false">N24+I25*Допущения!$B$18</f>
        <v>0.0714300709604287</v>
      </c>
      <c r="O25" s="19" t="n">
        <f aca="false">O24+G25+H25+I25</f>
        <v>4.08036343924259</v>
      </c>
      <c r="P25" s="17" t="n">
        <f aca="false">P24+F25</f>
        <v>0.0294935881638713</v>
      </c>
      <c r="Q25" s="6" t="n">
        <f aca="false">MIN(MATCH(A25,$S$3:$X$3,1),5)</f>
        <v>2</v>
      </c>
    </row>
    <row r="26" customFormat="false" ht="15" hidden="false" customHeight="false" outlineLevel="0" collapsed="false">
      <c r="A26" s="6" t="n">
        <v>19</v>
      </c>
      <c r="B26" s="14" t="n">
        <f aca="false">INDEX($S$4:$X$4,Q26)*(INDEX($S$4:$X$4,Q26+1)/INDEX($S$4:$X$4,Q26))^((LN(A26)-LN(INDEX($S$3:$X$3,Q26)))/(LN(INDEX($S$3:$X$3,Q26+1))-LN(INDEX($S$3:$X$3,Q26))))</f>
        <v>0.0658117765614757</v>
      </c>
      <c r="C26" s="33" t="n">
        <f aca="false">C25+B26</f>
        <v>3.24482157846689</v>
      </c>
      <c r="D26" s="36" t="n">
        <f aca="false">Допущения!$B$19*(1-EXP(-Допущения!$B$26*(A26+1)))</f>
        <v>0.00877486873554909</v>
      </c>
      <c r="E26" s="37" t="n">
        <f aca="false">D26-D25</f>
        <v>0.000135603535487533</v>
      </c>
      <c r="F26" s="37" t="n">
        <f aca="false">D26*MIN(1,B26*Допущения!$B$21)</f>
        <v>0.00144372425145059</v>
      </c>
      <c r="G26" s="17" t="n">
        <f aca="false">((B26-F26*Допущения!$B$23)*Допущения!$B$13*Допущения!$B$15+B26*Допущения!$B$14*Допущения!$B$16)/1000</f>
        <v>0.0647466388034752</v>
      </c>
      <c r="H26" s="17" t="n">
        <f aca="false">E26*Допущения!$B$27</f>
        <v>0.0126789305680843</v>
      </c>
      <c r="I26" s="17" t="n">
        <f aca="false">F26*Допущения!$B$22/30*Допущения!$B$28</f>
        <v>0.00699306745285965</v>
      </c>
      <c r="J26" s="17" t="n">
        <f aca="false">G26*Допущения!$B$17+(H26+I26)*Допущения!$B$18</f>
        <v>0.0422093184122096</v>
      </c>
      <c r="K26" s="19" t="n">
        <f aca="false">K25+J26</f>
        <v>2.08239103803351</v>
      </c>
      <c r="L26" s="19" t="n">
        <f aca="false">L25+G26*Допущения!$B$17</f>
        <v>1.59723931995973</v>
      </c>
      <c r="M26" s="19" t="n">
        <f aca="false">M25+H26*Допущения!$B$18</f>
        <v>0.41022511338692</v>
      </c>
      <c r="N26" s="19" t="n">
        <f aca="false">N25+I26*Допущения!$B$18</f>
        <v>0.0749266046868585</v>
      </c>
      <c r="O26" s="19" t="n">
        <f aca="false">O25+G26+H26+I26</f>
        <v>4.16478207606701</v>
      </c>
      <c r="P26" s="17" t="n">
        <f aca="false">P25+F26</f>
        <v>0.0309373124153219</v>
      </c>
      <c r="Q26" s="6" t="n">
        <f aca="false">MIN(MATCH(A26,$S$3:$X$3,1),5)</f>
        <v>2</v>
      </c>
    </row>
    <row r="27" customFormat="false" ht="15" hidden="false" customHeight="false" outlineLevel="0" collapsed="false">
      <c r="A27" s="6" t="n">
        <v>20</v>
      </c>
      <c r="B27" s="14" t="n">
        <f aca="false">INDEX($S$4:$X$4,Q27)*(INDEX($S$4:$X$4,Q27+1)/INDEX($S$4:$X$4,Q27))^((LN(A27)-LN(INDEX($S$3:$X$3,Q27)))/(LN(INDEX($S$3:$X$3,Q27+1))-LN(INDEX($S$3:$X$3,Q27))))</f>
        <v>0.0638120396354408</v>
      </c>
      <c r="C27" s="33" t="n">
        <f aca="false">C26+B27</f>
        <v>3.30863361810233</v>
      </c>
      <c r="D27" s="36" t="n">
        <f aca="false">Допущения!$B$19*(1-EXP(-Допущения!$B$26*(A27+1)))</f>
        <v>0.00889695874963808</v>
      </c>
      <c r="E27" s="37" t="n">
        <f aca="false">D27-D26</f>
        <v>0.000122090014088984</v>
      </c>
      <c r="F27" s="37" t="n">
        <f aca="false">D27*MIN(1,B27*Допущения!$B$21)</f>
        <v>0.00141933271091697</v>
      </c>
      <c r="G27" s="17" t="n">
        <f aca="false">((B27-F27*Допущения!$B$23)*Допущения!$B$13*Допущения!$B$15+B27*Допущения!$B$14*Допущения!$B$16)/1000</f>
        <v>0.0627782150745197</v>
      </c>
      <c r="H27" s="17" t="n">
        <f aca="false">E27*Допущения!$B$27</f>
        <v>0.01141541631732</v>
      </c>
      <c r="I27" s="17" t="n">
        <f aca="false">F27*Допущения!$B$22/30*Допущения!$B$28</f>
        <v>0.00687492045348675</v>
      </c>
      <c r="J27" s="17" t="n">
        <f aca="false">G27*Допущения!$B$17+(H27+I27)*Допущения!$B$18</f>
        <v>0.0405342759226632</v>
      </c>
      <c r="K27" s="19" t="n">
        <f aca="false">K26+J27</f>
        <v>2.12292531395617</v>
      </c>
      <c r="L27" s="19" t="n">
        <f aca="false">L26+G27*Допущения!$B$17</f>
        <v>1.62862842749699</v>
      </c>
      <c r="M27" s="19" t="n">
        <f aca="false">M26+H27*Допущения!$B$18</f>
        <v>0.41593282154558</v>
      </c>
      <c r="N27" s="19" t="n">
        <f aca="false">N26+I27*Допущения!$B$18</f>
        <v>0.0783640649136019</v>
      </c>
      <c r="O27" s="19" t="n">
        <f aca="false">O26+G27+H27+I27</f>
        <v>4.24585062791234</v>
      </c>
      <c r="P27" s="17" t="n">
        <f aca="false">P26+F27</f>
        <v>0.0323566451262388</v>
      </c>
      <c r="Q27" s="6" t="n">
        <f aca="false">MIN(MATCH(A27,$S$3:$X$3,1),5)</f>
        <v>2</v>
      </c>
    </row>
    <row r="28" customFormat="false" ht="15" hidden="false" customHeight="false" outlineLevel="0" collapsed="false">
      <c r="A28" s="6" t="n">
        <v>21</v>
      </c>
      <c r="B28" s="14" t="n">
        <f aca="false">INDEX($S$4:$X$4,Q28)*(INDEX($S$4:$X$4,Q28+1)/INDEX($S$4:$X$4,Q28))^((LN(A28)-LN(INDEX($S$3:$X$3,Q28)))/(LN(INDEX($S$3:$X$3,Q28+1))-LN(INDEX($S$3:$X$3,Q28))))</f>
        <v>0.0619663064958257</v>
      </c>
      <c r="C28" s="33" t="n">
        <f aca="false">C27+B28</f>
        <v>3.37059992459815</v>
      </c>
      <c r="D28" s="36" t="n">
        <f aca="false">Допущения!$B$19*(1-EXP(-Допущения!$B$26*(A28+1)))</f>
        <v>0.00900688192742733</v>
      </c>
      <c r="E28" s="37" t="n">
        <f aca="false">D28-D27</f>
        <v>0.000109923177789259</v>
      </c>
      <c r="F28" s="37" t="n">
        <f aca="false">D28*MIN(1,B28*Допущения!$B$21)</f>
        <v>0.00139530801521669</v>
      </c>
      <c r="G28" s="17" t="n">
        <f aca="false">((B28-F28*Допущения!$B$23)*Допущения!$B$13*Допущения!$B$15+B28*Допущения!$B$14*Допущения!$B$16)/1000</f>
        <v>0.0609614652655666</v>
      </c>
      <c r="H28" s="17" t="n">
        <f aca="false">E28*Допущения!$B$27</f>
        <v>0.0102778171232957</v>
      </c>
      <c r="I28" s="17" t="n">
        <f aca="false">F28*Допущения!$B$22/30*Допущения!$B$28</f>
        <v>0.00675855036591797</v>
      </c>
      <c r="J28" s="17" t="n">
        <f aca="false">G28*Допущения!$B$17+(H28+I28)*Допущения!$B$18</f>
        <v>0.0389989163773901</v>
      </c>
      <c r="K28" s="19" t="n">
        <f aca="false">K27+J28</f>
        <v>2.16192423033356</v>
      </c>
      <c r="L28" s="19" t="n">
        <f aca="false">L27+G28*Допущения!$B$17</f>
        <v>1.65910916012977</v>
      </c>
      <c r="M28" s="19" t="n">
        <f aca="false">M27+H28*Допущения!$B$18</f>
        <v>0.421071730107228</v>
      </c>
      <c r="N28" s="19" t="n">
        <f aca="false">N27+I28*Допущения!$B$18</f>
        <v>0.0817433400965609</v>
      </c>
      <c r="O28" s="19" t="n">
        <f aca="false">O27+G28+H28+I28</f>
        <v>4.32384846066712</v>
      </c>
      <c r="P28" s="17" t="n">
        <f aca="false">P27+F28</f>
        <v>0.0337519531414555</v>
      </c>
      <c r="Q28" s="6" t="n">
        <f aca="false">MIN(MATCH(A28,$S$3:$X$3,1),5)</f>
        <v>2</v>
      </c>
    </row>
    <row r="29" customFormat="false" ht="15" hidden="false" customHeight="false" outlineLevel="0" collapsed="false">
      <c r="A29" s="6" t="n">
        <v>22</v>
      </c>
      <c r="B29" s="14" t="n">
        <f aca="false">INDEX($S$4:$X$4,Q29)*(INDEX($S$4:$X$4,Q29+1)/INDEX($S$4:$X$4,Q29))^((LN(A29)-LN(INDEX($S$3:$X$3,Q29)))/(LN(INDEX($S$3:$X$3,Q29+1))-LN(INDEX($S$3:$X$3,Q29))))</f>
        <v>0.0602561943092412</v>
      </c>
      <c r="C29" s="33" t="n">
        <f aca="false">C28+B29</f>
        <v>3.4308561189074</v>
      </c>
      <c r="D29" s="36" t="n">
        <f aca="false">Допущения!$B$19*(1-EXP(-Допущения!$B$26*(A29+1)))</f>
        <v>0.0091058507505981</v>
      </c>
      <c r="E29" s="37" t="n">
        <f aca="false">D29-D28</f>
        <v>9.89688231707673E-005</v>
      </c>
      <c r="F29" s="37" t="n">
        <f aca="false">D29*MIN(1,B29*Допущения!$B$21)</f>
        <v>0.00137170978044747</v>
      </c>
      <c r="G29" s="17" t="n">
        <f aca="false">((B29-F29*Допущения!$B$23)*Допущения!$B$13*Допущения!$B$15+B29*Допущения!$B$14*Допущения!$B$16)/1000</f>
        <v>0.0592782790664585</v>
      </c>
      <c r="H29" s="17" t="n">
        <f aca="false">E29*Допущения!$B$27</f>
        <v>0.00925358496646674</v>
      </c>
      <c r="I29" s="17" t="n">
        <f aca="false">F29*Допущения!$B$22/30*Допущения!$B$28</f>
        <v>0.00664424595678739</v>
      </c>
      <c r="J29" s="17" t="n">
        <f aca="false">G29*Допущения!$B$17+(H29+I29)*Допущения!$B$18</f>
        <v>0.0375880549948563</v>
      </c>
      <c r="K29" s="19" t="n">
        <f aca="false">K28+J29</f>
        <v>2.19951228532842</v>
      </c>
      <c r="L29" s="19" t="n">
        <f aca="false">L28+G29*Допущения!$B$17</f>
        <v>1.688748299663</v>
      </c>
      <c r="M29" s="19" t="n">
        <f aca="false">M28+H29*Допущения!$B$18</f>
        <v>0.425698522590461</v>
      </c>
      <c r="N29" s="19" t="n">
        <f aca="false">N28+I29*Допущения!$B$18</f>
        <v>0.0850654630749546</v>
      </c>
      <c r="O29" s="19" t="n">
        <f aca="false">O28+G29+H29+I29</f>
        <v>4.39902457065683</v>
      </c>
      <c r="P29" s="17" t="n">
        <f aca="false">P28+F29</f>
        <v>0.035123662921903</v>
      </c>
      <c r="Q29" s="6" t="n">
        <f aca="false">MIN(MATCH(A29,$S$3:$X$3,1),5)</f>
        <v>2</v>
      </c>
    </row>
    <row r="30" customFormat="false" ht="15" hidden="false" customHeight="false" outlineLevel="0" collapsed="false">
      <c r="A30" s="6" t="n">
        <v>23</v>
      </c>
      <c r="B30" s="14" t="n">
        <f aca="false">INDEX($S$4:$X$4,Q30)*(INDEX($S$4:$X$4,Q30+1)/INDEX($S$4:$X$4,Q30))^((LN(A30)-LN(INDEX($S$3:$X$3,Q30)))/(LN(INDEX($S$3:$X$3,Q30+1))-LN(INDEX($S$3:$X$3,Q30))))</f>
        <v>0.0586662248961773</v>
      </c>
      <c r="C30" s="33" t="n">
        <f aca="false">C29+B30</f>
        <v>3.48952234380357</v>
      </c>
      <c r="D30" s="36" t="n">
        <f aca="false">Допущения!$B$19*(1-EXP(-Допущения!$B$26*(A30+1)))</f>
        <v>0.00919495687140717</v>
      </c>
      <c r="E30" s="37" t="n">
        <f aca="false">D30-D29</f>
        <v>8.91061208090696E-005</v>
      </c>
      <c r="F30" s="37" t="n">
        <f aca="false">D30*MIN(1,B30*Допущения!$B$21)</f>
        <v>0.00134858351932156</v>
      </c>
      <c r="G30" s="17" t="n">
        <f aca="false">((B30-F30*Допущения!$B$23)*Допущения!$B$13*Допущения!$B$15+B30*Допущения!$B$14*Допущения!$B$16)/1000</f>
        <v>0.0577134080126913</v>
      </c>
      <c r="H30" s="17" t="n">
        <f aca="false">E30*Допущения!$B$27</f>
        <v>0.00833142229564801</v>
      </c>
      <c r="I30" s="17" t="n">
        <f aca="false">F30*Допущения!$B$22/30*Допущения!$B$28</f>
        <v>0.00653222767918108</v>
      </c>
      <c r="J30" s="17" t="n">
        <f aca="false">G30*Допущения!$B$17+(H30+I30)*Допущения!$B$18</f>
        <v>0.0362885289937602</v>
      </c>
      <c r="K30" s="19" t="n">
        <f aca="false">K29+J30</f>
        <v>2.23580081432218</v>
      </c>
      <c r="L30" s="19" t="n">
        <f aca="false">L29+G30*Допущения!$B$17</f>
        <v>1.71760500366935</v>
      </c>
      <c r="M30" s="19" t="n">
        <f aca="false">M29+H30*Допущения!$B$18</f>
        <v>0.429864233738285</v>
      </c>
      <c r="N30" s="19" t="n">
        <f aca="false">N29+I30*Допущения!$B$18</f>
        <v>0.0883315769145451</v>
      </c>
      <c r="O30" s="19" t="n">
        <f aca="false">O29+G30+H30+I30</f>
        <v>4.47160162864435</v>
      </c>
      <c r="P30" s="17" t="n">
        <f aca="false">P29+F30</f>
        <v>0.0364722464412245</v>
      </c>
      <c r="Q30" s="6" t="n">
        <f aca="false">MIN(MATCH(A30,$S$3:$X$3,1),5)</f>
        <v>2</v>
      </c>
    </row>
    <row r="31" customFormat="false" ht="15" hidden="false" customHeight="false" outlineLevel="0" collapsed="false">
      <c r="A31" s="6" t="n">
        <v>24</v>
      </c>
      <c r="B31" s="14" t="n">
        <f aca="false">INDEX($S$4:$X$4,Q31)*(INDEX($S$4:$X$4,Q31+1)/INDEX($S$4:$X$4,Q31))^((LN(A31)-LN(INDEX($S$3:$X$3,Q31)))/(LN(INDEX($S$3:$X$3,Q31+1))-LN(INDEX($S$3:$X$3,Q31))))</f>
        <v>0.0571832629483147</v>
      </c>
      <c r="C31" s="33" t="n">
        <f aca="false">C30+B31</f>
        <v>3.54670560675189</v>
      </c>
      <c r="D31" s="36" t="n">
        <f aca="false">Допущения!$B$19*(1-EXP(-Допущения!$B$26*(A31+1)))</f>
        <v>0.00927518315389959</v>
      </c>
      <c r="E31" s="37" t="n">
        <f aca="false">D31-D30</f>
        <v>8.02262824924228E-005</v>
      </c>
      <c r="F31" s="37" t="n">
        <f aca="false">D31*MIN(1,B31*Допущения!$B$21)</f>
        <v>0.00132596309295805</v>
      </c>
      <c r="G31" s="17" t="n">
        <f aca="false">((B31-F31*Допущения!$B$23)*Допущения!$B$13*Допущения!$B$15+B31*Допущения!$B$14*Допущения!$B$16)/1000</f>
        <v>0.0562539119970702</v>
      </c>
      <c r="H31" s="17" t="n">
        <f aca="false">E31*Допущения!$B$27</f>
        <v>0.00750115741304153</v>
      </c>
      <c r="I31" s="17" t="n">
        <f aca="false">F31*Допущения!$B$22/30*Допущения!$B$28</f>
        <v>0.00642265954855395</v>
      </c>
      <c r="J31" s="17" t="n">
        <f aca="false">G31*Допущения!$B$17+(H31+I31)*Допущения!$B$18</f>
        <v>0.0350888644793328</v>
      </c>
      <c r="K31" s="19" t="n">
        <f aca="false">K30+J31</f>
        <v>2.27088967880151</v>
      </c>
      <c r="L31" s="19" t="n">
        <f aca="false">L30+G31*Допущения!$B$17</f>
        <v>1.74573195966788</v>
      </c>
      <c r="M31" s="19" t="n">
        <f aca="false">M30+H31*Допущения!$B$18</f>
        <v>0.433614812444806</v>
      </c>
      <c r="N31" s="19" t="n">
        <f aca="false">N30+I31*Допущения!$B$18</f>
        <v>0.0915429066888221</v>
      </c>
      <c r="O31" s="19" t="n">
        <f aca="false">O30+G31+H31+I31</f>
        <v>4.54177935760302</v>
      </c>
      <c r="P31" s="17" t="n">
        <f aca="false">P30+F31</f>
        <v>0.0377982095341826</v>
      </c>
      <c r="Q31" s="6" t="n">
        <f aca="false">MIN(MATCH(A31,$S$3:$X$3,1),5)</f>
        <v>2</v>
      </c>
    </row>
    <row r="32" customFormat="false" ht="15" hidden="false" customHeight="false" outlineLevel="0" collapsed="false">
      <c r="A32" s="6" t="n">
        <v>25</v>
      </c>
      <c r="B32" s="14" t="n">
        <f aca="false">INDEX($S$4:$X$4,Q32)*(INDEX($S$4:$X$4,Q32+1)/INDEX($S$4:$X$4,Q32))^((LN(A32)-LN(INDEX($S$3:$X$3,Q32)))/(LN(INDEX($S$3:$X$3,Q32+1))-LN(INDEX($S$3:$X$3,Q32))))</f>
        <v>0.0557960811829832</v>
      </c>
      <c r="C32" s="33" t="n">
        <f aca="false">C31+B32</f>
        <v>3.60250168793487</v>
      </c>
      <c r="D32" s="36" t="n">
        <f aca="false">Допущения!$B$19*(1-EXP(-Допущения!$B$26*(A32+1)))</f>
        <v>0.00934741451515866</v>
      </c>
      <c r="E32" s="37" t="n">
        <f aca="false">D32-D31</f>
        <v>7.22313612590668E-005</v>
      </c>
      <c r="F32" s="37" t="n">
        <f aca="false">D32*MIN(1,B32*Допущения!$B$21)</f>
        <v>0.00130387274784697</v>
      </c>
      <c r="G32" s="17" t="n">
        <f aca="false">((B32-F32*Допущения!$B$23)*Допущения!$B$13*Допущения!$B$15+B32*Допущения!$B$14*Допущения!$B$16)/1000</f>
        <v>0.0548887308368547</v>
      </c>
      <c r="H32" s="17" t="n">
        <f aca="false">E32*Допущения!$B$27</f>
        <v>0.00675363227772275</v>
      </c>
      <c r="I32" s="17" t="n">
        <f aca="false">F32*Допущения!$B$22/30*Допущения!$B$28</f>
        <v>0.00631565900931421</v>
      </c>
      <c r="J32" s="17" t="n">
        <f aca="false">G32*Допущения!$B$17+(H32+I32)*Допущения!$B$18</f>
        <v>0.0339790110619459</v>
      </c>
      <c r="K32" s="19" t="n">
        <f aca="false">K31+J32</f>
        <v>2.30486868986346</v>
      </c>
      <c r="L32" s="19" t="n">
        <f aca="false">L31+G32*Допущения!$B$17</f>
        <v>1.77317632508631</v>
      </c>
      <c r="M32" s="19" t="n">
        <f aca="false">M31+H32*Допущения!$B$18</f>
        <v>0.436991628583667</v>
      </c>
      <c r="N32" s="19" t="n">
        <f aca="false">N31+I32*Допущения!$B$18</f>
        <v>0.0947007361934792</v>
      </c>
      <c r="O32" s="19" t="n">
        <f aca="false">O31+G32+H32+I32</f>
        <v>4.60973737972691</v>
      </c>
      <c r="P32" s="17" t="n">
        <f aca="false">P31+F32</f>
        <v>0.0391020822820296</v>
      </c>
      <c r="Q32" s="6" t="n">
        <f aca="false">MIN(MATCH(A32,$S$3:$X$3,1),5)</f>
        <v>2</v>
      </c>
    </row>
    <row r="33" customFormat="false" ht="15" hidden="false" customHeight="false" outlineLevel="0" collapsed="false">
      <c r="A33" s="6" t="n">
        <v>26</v>
      </c>
      <c r="B33" s="14" t="n">
        <f aca="false">INDEX($S$4:$X$4,Q33)*(INDEX($S$4:$X$4,Q33+1)/INDEX($S$4:$X$4,Q33))^((LN(A33)-LN(INDEX($S$3:$X$3,Q33)))/(LN(INDEX($S$3:$X$3,Q33+1))-LN(INDEX($S$3:$X$3,Q33))))</f>
        <v>0.0544950199414713</v>
      </c>
      <c r="C33" s="33" t="n">
        <f aca="false">C32+B33</f>
        <v>3.65699670787634</v>
      </c>
      <c r="D33" s="36" t="n">
        <f aca="false">Допущения!$B$19*(1-EXP(-Допущения!$B$26*(A33+1)))</f>
        <v>0.00941244768617504</v>
      </c>
      <c r="E33" s="37" t="n">
        <f aca="false">D33-D32</f>
        <v>6.50331710163755E-005</v>
      </c>
      <c r="F33" s="37" t="n">
        <f aca="false">D33*MIN(1,B33*Допущения!$B$21)</f>
        <v>0.00128232881089041</v>
      </c>
      <c r="G33" s="17" t="n">
        <f aca="false">((B33-F33*Допущения!$B$23)*Допущения!$B$13*Допущения!$B$15+B33*Допущения!$B$14*Допущения!$B$16)/1000</f>
        <v>0.0536083488865612</v>
      </c>
      <c r="H33" s="17" t="n">
        <f aca="false">E33*Допущения!$B$27</f>
        <v>0.00608060149003111</v>
      </c>
      <c r="I33" s="17" t="n">
        <f aca="false">F33*Допущения!$B$22/30*Допущения!$B$28</f>
        <v>0.0062113051452117</v>
      </c>
      <c r="J33" s="17" t="n">
        <f aca="false">G33*Допущения!$B$17+(H33+I33)*Допущения!$B$18</f>
        <v>0.032950127760902</v>
      </c>
      <c r="K33" s="19" t="n">
        <f aca="false">K32+J33</f>
        <v>2.33781881762436</v>
      </c>
      <c r="L33" s="19" t="n">
        <f aca="false">L32+G33*Допущения!$B$17</f>
        <v>1.79998049952959</v>
      </c>
      <c r="M33" s="19" t="n">
        <f aca="false">M32+H33*Допущения!$B$18</f>
        <v>0.440031929328683</v>
      </c>
      <c r="N33" s="19" t="n">
        <f aca="false">N32+I33*Допущения!$B$18</f>
        <v>0.097806388766085</v>
      </c>
      <c r="O33" s="19" t="n">
        <f aca="false">O32+G33+H33+I33</f>
        <v>4.67563763524871</v>
      </c>
      <c r="P33" s="17" t="n">
        <f aca="false">P32+F33</f>
        <v>0.04038441109292</v>
      </c>
      <c r="Q33" s="6" t="n">
        <f aca="false">MIN(MATCH(A33,$S$3:$X$3,1),5)</f>
        <v>2</v>
      </c>
    </row>
    <row r="34" customFormat="false" ht="15" hidden="false" customHeight="false" outlineLevel="0" collapsed="false">
      <c r="A34" s="6" t="n">
        <v>27</v>
      </c>
      <c r="B34" s="14" t="n">
        <f aca="false">INDEX($S$4:$X$4,Q34)*(INDEX($S$4:$X$4,Q34+1)/INDEX($S$4:$X$4,Q34))^((LN(A34)-LN(INDEX($S$3:$X$3,Q34)))/(LN(INDEX($S$3:$X$3,Q34+1))-LN(INDEX($S$3:$X$3,Q34))))</f>
        <v>0.0532717179583627</v>
      </c>
      <c r="C34" s="33" t="n">
        <f aca="false">C33+B34</f>
        <v>3.7102684258347</v>
      </c>
      <c r="D34" s="36" t="n">
        <f aca="false">Допущения!$B$19*(1-EXP(-Допущения!$B$26*(A34+1)))</f>
        <v>0.009471</v>
      </c>
      <c r="E34" s="37" t="n">
        <f aca="false">D34-D33</f>
        <v>5.85523138249642E-005</v>
      </c>
      <c r="F34" s="37" t="n">
        <f aca="false">D34*MIN(1,B34*Допущения!$B$21)</f>
        <v>0.00126134110195913</v>
      </c>
      <c r="G34" s="17" t="n">
        <f aca="false">((B34-F34*Допущения!$B$23)*Допущения!$B$13*Допущения!$B$15+B34*Допущения!$B$14*Допущения!$B$16)/1000</f>
        <v>0.0524045297694814</v>
      </c>
      <c r="H34" s="17" t="n">
        <f aca="false">E34*Допущения!$B$27</f>
        <v>0.00547464134263415</v>
      </c>
      <c r="I34" s="17" t="n">
        <f aca="false">F34*Допущения!$B$22/30*Допущения!$B$28</f>
        <v>0.00610964552143662</v>
      </c>
      <c r="J34" s="17" t="n">
        <f aca="false">G34*Допущения!$B$17+(H34+I34)*Допущения!$B$18</f>
        <v>0.0319944083167761</v>
      </c>
      <c r="K34" s="19" t="n">
        <f aca="false">K33+J34</f>
        <v>2.36981322594113</v>
      </c>
      <c r="L34" s="19" t="n">
        <f aca="false">L33+G34*Допущения!$B$17</f>
        <v>1.82618276441433</v>
      </c>
      <c r="M34" s="19" t="n">
        <f aca="false">M33+H34*Допущения!$B$18</f>
        <v>0.44276925</v>
      </c>
      <c r="N34" s="19" t="n">
        <f aca="false">N33+I34*Допущения!$B$18</f>
        <v>0.100861211526803</v>
      </c>
      <c r="O34" s="19" t="n">
        <f aca="false">O33+G34+H34+I34</f>
        <v>4.73962645188227</v>
      </c>
      <c r="P34" s="17" t="n">
        <f aca="false">P33+F34</f>
        <v>0.0416457521948791</v>
      </c>
      <c r="Q34" s="6" t="n">
        <f aca="false">MIN(MATCH(A34,$S$3:$X$3,1),5)</f>
        <v>2</v>
      </c>
    </row>
    <row r="35" customFormat="false" ht="15" hidden="false" customHeight="false" outlineLevel="0" collapsed="false">
      <c r="A35" s="6" t="n">
        <v>28</v>
      </c>
      <c r="B35" s="14" t="n">
        <f aca="false">INDEX($S$4:$X$4,Q35)*(INDEX($S$4:$X$4,Q35+1)/INDEX($S$4:$X$4,Q35))^((LN(A35)-LN(INDEX($S$3:$X$3,Q35)))/(LN(INDEX($S$3:$X$3,Q35+1))-LN(INDEX($S$3:$X$3,Q35))))</f>
        <v>0.0521188973953181</v>
      </c>
      <c r="C35" s="33" t="n">
        <f aca="false">C34+B35</f>
        <v>3.76238732323002</v>
      </c>
      <c r="D35" s="36" t="n">
        <f aca="false">Допущения!$B$19*(1-EXP(-Допущения!$B$26*(A35+1)))</f>
        <v>0.00952371730411845</v>
      </c>
      <c r="E35" s="37" t="n">
        <f aca="false">D35-D34</f>
        <v>5.27173041184447E-005</v>
      </c>
      <c r="F35" s="37" t="n">
        <f aca="false">D35*MIN(1,B35*Допущения!$B$21)</f>
        <v>0.00124091411248841</v>
      </c>
      <c r="G35" s="17" t="n">
        <f aca="false">((B35-F35*Допущения!$B$23)*Допущения!$B$13*Допущения!$B$15+B35*Допущения!$B$14*Допущения!$B$16)/1000</f>
        <v>0.051270104572314</v>
      </c>
      <c r="H35" s="17" t="n">
        <f aca="false">E35*Допущения!$B$27</f>
        <v>0.00492906793507458</v>
      </c>
      <c r="I35" s="17" t="n">
        <f aca="false">F35*Допущения!$B$22/30*Допущения!$B$28</f>
        <v>0.00601070189346607</v>
      </c>
      <c r="J35" s="17" t="n">
        <f aca="false">G35*Допущения!$B$17+(H35+I35)*Допущения!$B$18</f>
        <v>0.0311049372004273</v>
      </c>
      <c r="K35" s="19" t="n">
        <f aca="false">K34+J35</f>
        <v>2.40091816314156</v>
      </c>
      <c r="L35" s="19" t="n">
        <f aca="false">L34+G35*Допущения!$B$17</f>
        <v>1.85181781670049</v>
      </c>
      <c r="M35" s="19" t="n">
        <f aca="false">M34+H35*Допущения!$B$18</f>
        <v>0.445233783967537</v>
      </c>
      <c r="N35" s="19" t="n">
        <f aca="false">N34+I35*Допущения!$B$18</f>
        <v>0.103866562473536</v>
      </c>
      <c r="O35" s="19" t="n">
        <f aca="false">O34+G35+H35+I35</f>
        <v>4.80183632628312</v>
      </c>
      <c r="P35" s="17" t="n">
        <f aca="false">P34+F35</f>
        <v>0.0428866663073675</v>
      </c>
      <c r="Q35" s="6" t="n">
        <f aca="false">MIN(MATCH(A35,$S$3:$X$3,1),5)</f>
        <v>2</v>
      </c>
    </row>
    <row r="36" customFormat="false" ht="15" hidden="false" customHeight="false" outlineLevel="0" collapsed="false">
      <c r="A36" s="6" t="n">
        <v>29</v>
      </c>
      <c r="B36" s="14" t="n">
        <f aca="false">INDEX($S$4:$X$4,Q36)*(INDEX($S$4:$X$4,Q36+1)/INDEX($S$4:$X$4,Q36))^((LN(A36)-LN(INDEX($S$3:$X$3,Q36)))/(LN(INDEX($S$3:$X$3,Q36+1))-LN(INDEX($S$3:$X$3,Q36))))</f>
        <v>0.0510301906967685</v>
      </c>
      <c r="C36" s="33" t="n">
        <f aca="false">C35+B36</f>
        <v>3.81341751392679</v>
      </c>
      <c r="D36" s="36" t="n">
        <f aca="false">Допущения!$B$19*(1-EXP(-Допущения!$B$26*(A36+1)))</f>
        <v>0.0095711810843172</v>
      </c>
      <c r="E36" s="37" t="n">
        <f aca="false">D36-D35</f>
        <v>4.74637801987522E-005</v>
      </c>
      <c r="F36" s="37" t="n">
        <f aca="false">D36*MIN(1,B36*Допущения!$B$21)</f>
        <v>0.00122104798981503</v>
      </c>
      <c r="G36" s="17" t="n">
        <f aca="false">((B36-F36*Допущения!$B$23)*Допущения!$B$13*Допущения!$B$15+B36*Допущения!$B$14*Допущения!$B$16)/1000</f>
        <v>0.0501988012448669</v>
      </c>
      <c r="H36" s="17" t="n">
        <f aca="false">E36*Допущения!$B$27</f>
        <v>0.00443786344858333</v>
      </c>
      <c r="I36" s="17" t="n">
        <f aca="false">F36*Допущения!$B$22/30*Допущения!$B$28</f>
        <v>0.00591447497496539</v>
      </c>
      <c r="J36" s="17" t="n">
        <f aca="false">G36*Допущения!$B$17+(H36+I36)*Допущения!$B$18</f>
        <v>0.0302755698342078</v>
      </c>
      <c r="K36" s="19" t="n">
        <f aca="false">K35+J36</f>
        <v>2.43119373297577</v>
      </c>
      <c r="L36" s="19" t="n">
        <f aca="false">L35+G36*Допущения!$B$17</f>
        <v>1.87691721732292</v>
      </c>
      <c r="M36" s="19" t="n">
        <f aca="false">M35+H36*Допущения!$B$18</f>
        <v>0.447452715691829</v>
      </c>
      <c r="N36" s="19" t="n">
        <f aca="false">N35+I36*Допущения!$B$18</f>
        <v>0.106823799961019</v>
      </c>
      <c r="O36" s="19" t="n">
        <f aca="false">O35+G36+H36+I36</f>
        <v>4.86238746595154</v>
      </c>
      <c r="P36" s="17" t="n">
        <f aca="false">P35+F36</f>
        <v>0.0441077142971825</v>
      </c>
      <c r="Q36" s="6" t="n">
        <f aca="false">MIN(MATCH(A36,$S$3:$X$3,1),5)</f>
        <v>2</v>
      </c>
    </row>
    <row r="37" customFormat="false" ht="15" hidden="false" customHeight="false" outlineLevel="0" collapsed="false">
      <c r="A37" s="6" t="n">
        <v>30</v>
      </c>
      <c r="B37" s="14" t="n">
        <f aca="false">INDEX($S$4:$X$4,Q37)*(INDEX($S$4:$X$4,Q37+1)/INDEX($S$4:$X$4,Q37))^((LN(A37)-LN(INDEX($S$3:$X$3,Q37)))/(LN(INDEX($S$3:$X$3,Q37+1))-LN(INDEX($S$3:$X$3,Q37))))</f>
        <v>0.05</v>
      </c>
      <c r="C37" s="33" t="n">
        <f aca="false">C36+B37</f>
        <v>3.86341751392679</v>
      </c>
      <c r="D37" s="36" t="n">
        <f aca="false">Допущения!$B$19*(1-EXP(-Допущения!$B$26*(A37+1)))</f>
        <v>0.00961391487862682</v>
      </c>
      <c r="E37" s="37" t="n">
        <f aca="false">D37-D36</f>
        <v>4.27337943096247E-005</v>
      </c>
      <c r="F37" s="37" t="n">
        <f aca="false">D37*MIN(1,B37*Допущения!$B$21)</f>
        <v>0.00120173935982835</v>
      </c>
      <c r="G37" s="17" t="n">
        <f aca="false">((B37-F37*Допущения!$B$23)*Допущения!$B$13*Допущения!$B$15+B37*Допущения!$B$14*Допущения!$B$16)/1000</f>
        <v>0.0491851060745693</v>
      </c>
      <c r="H37" s="17" t="n">
        <f aca="false">E37*Допущения!$B$27</f>
        <v>0.00399560976794991</v>
      </c>
      <c r="I37" s="17" t="n">
        <f aca="false">F37*Допущения!$B$22/30*Допущения!$B$28</f>
        <v>0.0058209484225206</v>
      </c>
      <c r="J37" s="17" t="n">
        <f aca="false">G37*Допущения!$B$17+(H37+I37)*Допущения!$B$18</f>
        <v>0.0295008321325199</v>
      </c>
      <c r="K37" s="19" t="n">
        <f aca="false">K36+J37</f>
        <v>2.46069456510829</v>
      </c>
      <c r="L37" s="19" t="n">
        <f aca="false">L36+G37*Допущения!$B$17</f>
        <v>1.90150977036021</v>
      </c>
      <c r="M37" s="19" t="n">
        <f aca="false">M36+H37*Допущения!$B$18</f>
        <v>0.449450520575804</v>
      </c>
      <c r="N37" s="19" t="n">
        <f aca="false">N36+I37*Допущения!$B$18</f>
        <v>0.109734274172279</v>
      </c>
      <c r="O37" s="19" t="n">
        <f aca="false">O36+G37+H37+I37</f>
        <v>4.92138913021658</v>
      </c>
      <c r="P37" s="17" t="n">
        <f aca="false">P36+F37</f>
        <v>0.0453094536570109</v>
      </c>
      <c r="Q37" s="6" t="n">
        <f aca="false">MIN(MATCH(A37,$S$3:$X$3,1),5)</f>
        <v>3</v>
      </c>
    </row>
    <row r="38" customFormat="false" ht="15" hidden="false" customHeight="false" outlineLevel="0" collapsed="false">
      <c r="A38" s="6" t="n">
        <v>31</v>
      </c>
      <c r="B38" s="14" t="n">
        <f aca="false">INDEX($S$4:$X$4,Q38)*(INDEX($S$4:$X$4,Q38+1)/INDEX($S$4:$X$4,Q38))^((LN(A38)-LN(INDEX($S$3:$X$3,Q38)))/(LN(INDEX($S$3:$X$3,Q38+1))-LN(INDEX($S$3:$X$3,Q38))))</f>
        <v>0.0487897154301415</v>
      </c>
      <c r="C38" s="33" t="n">
        <f aca="false">C37+B38</f>
        <v>3.91220722935693</v>
      </c>
      <c r="D38" s="36" t="n">
        <f aca="false">Допущения!$B$19*(1-EXP(-Допущения!$B$26*(A38+1)))</f>
        <v>0.00965239005208436</v>
      </c>
      <c r="E38" s="37" t="n">
        <f aca="false">D38-D37</f>
        <v>3.84751734575344E-005</v>
      </c>
      <c r="F38" s="37" t="n">
        <f aca="false">D38*MIN(1,B38*Допущения!$B$21)</f>
        <v>0.00117734340965481</v>
      </c>
      <c r="G38" s="17" t="n">
        <f aca="false">((B38-F38*Допущения!$B$23)*Допущения!$B$13*Допущения!$B$15+B38*Допущения!$B$14*Допущения!$B$16)/1000</f>
        <v>0.047994293154568</v>
      </c>
      <c r="H38" s="17" t="n">
        <f aca="false">E38*Допущения!$B$27</f>
        <v>0.00359742871827947</v>
      </c>
      <c r="I38" s="17" t="n">
        <f aca="false">F38*Допущения!$B$22/30*Допущения!$B$28</f>
        <v>0.00570278006386848</v>
      </c>
      <c r="J38" s="17" t="n">
        <f aca="false">G38*Допущения!$B$17+(H38+I38)*Допущения!$B$18</f>
        <v>0.028647250968358</v>
      </c>
      <c r="K38" s="19" t="n">
        <f aca="false">K37+J38</f>
        <v>2.48934181607665</v>
      </c>
      <c r="L38" s="19" t="n">
        <f aca="false">L37+G38*Допущения!$B$17</f>
        <v>1.92550691693749</v>
      </c>
      <c r="M38" s="19" t="n">
        <f aca="false">M37+H38*Допущения!$B$18</f>
        <v>0.451249234934944</v>
      </c>
      <c r="N38" s="19" t="n">
        <f aca="false">N37+I38*Допущения!$B$18</f>
        <v>0.112585664204214</v>
      </c>
      <c r="O38" s="19" t="n">
        <f aca="false">O37+G38+H38+I38</f>
        <v>4.97868363215329</v>
      </c>
      <c r="P38" s="17" t="n">
        <f aca="false">P37+F38</f>
        <v>0.0464867970666657</v>
      </c>
      <c r="Q38" s="6" t="n">
        <f aca="false">MIN(MATCH(A38,$S$3:$X$3,1),5)</f>
        <v>3</v>
      </c>
    </row>
    <row r="39" customFormat="false" ht="15" hidden="false" customHeight="false" outlineLevel="0" collapsed="false">
      <c r="A39" s="6" t="n">
        <v>32</v>
      </c>
      <c r="B39" s="14" t="n">
        <f aca="false">INDEX($S$4:$X$4,Q39)*(INDEX($S$4:$X$4,Q39+1)/INDEX($S$4:$X$4,Q39))^((LN(A39)-LN(INDEX($S$3:$X$3,Q39)))/(LN(INDEX($S$3:$X$3,Q39+1))-LN(INDEX($S$3:$X$3,Q39))))</f>
        <v>0.0476457816172524</v>
      </c>
      <c r="C39" s="33" t="n">
        <f aca="false">C38+B39</f>
        <v>3.95985301097418</v>
      </c>
      <c r="D39" s="36" t="n">
        <f aca="false">Допущения!$B$19*(1-EXP(-Допущения!$B$26*(A39+1)))</f>
        <v>0.00968703099601416</v>
      </c>
      <c r="E39" s="37" t="n">
        <f aca="false">D39-D38</f>
        <v>3.46409439298031E-005</v>
      </c>
      <c r="F39" s="37" t="n">
        <f aca="false">D39*MIN(1,B39*Допущения!$B$21)</f>
        <v>0.00115386540838911</v>
      </c>
      <c r="G39" s="17" t="n">
        <f aca="false">((B39-F39*Допущения!$B$23)*Допущения!$B$13*Допущения!$B$15+B39*Допущения!$B$14*Допущения!$B$16)/1000</f>
        <v>0.0468687861609406</v>
      </c>
      <c r="H39" s="17" t="n">
        <f aca="false">E39*Допущения!$B$27</f>
        <v>0.00323892825743659</v>
      </c>
      <c r="I39" s="17" t="n">
        <f aca="false">F39*Допущения!$B$22/30*Допущения!$B$28</f>
        <v>0.00558905803811157</v>
      </c>
      <c r="J39" s="17" t="n">
        <f aca="false">G39*Допущения!$B$17+(H39+I39)*Допущения!$B$18</f>
        <v>0.0278483862282444</v>
      </c>
      <c r="K39" s="19" t="n">
        <f aca="false">K38+J39</f>
        <v>2.51719020230489</v>
      </c>
      <c r="L39" s="19" t="n">
        <f aca="false">L38+G39*Допущения!$B$17</f>
        <v>1.94894131001796</v>
      </c>
      <c r="M39" s="19" t="n">
        <f aca="false">M38+H39*Допущения!$B$18</f>
        <v>0.452868699063662</v>
      </c>
      <c r="N39" s="19" t="n">
        <f aca="false">N38+I39*Допущения!$B$18</f>
        <v>0.115380193223269</v>
      </c>
      <c r="O39" s="19" t="n">
        <f aca="false">O38+G39+H39+I39</f>
        <v>5.03438040460978</v>
      </c>
      <c r="P39" s="17" t="n">
        <f aca="false">P38+F39</f>
        <v>0.0476406624750548</v>
      </c>
      <c r="Q39" s="6" t="n">
        <f aca="false">MIN(MATCH(A39,$S$3:$X$3,1),5)</f>
        <v>3</v>
      </c>
    </row>
    <row r="40" customFormat="false" ht="15" hidden="false" customHeight="false" outlineLevel="0" collapsed="false">
      <c r="A40" s="6" t="n">
        <v>33</v>
      </c>
      <c r="B40" s="14" t="n">
        <f aca="false">INDEX($S$4:$X$4,Q40)*(INDEX($S$4:$X$4,Q40+1)/INDEX($S$4:$X$4,Q40))^((LN(A40)-LN(INDEX($S$3:$X$3,Q40)))/(LN(INDEX($S$3:$X$3,Q40+1))-LN(INDEX($S$3:$X$3,Q40))))</f>
        <v>0.046562653128462</v>
      </c>
      <c r="C40" s="33" t="n">
        <f aca="false">C39+B40</f>
        <v>4.00641566410265</v>
      </c>
      <c r="D40" s="36" t="n">
        <f aca="false">Допущения!$B$19*(1-EXP(-Допущения!$B$26*(A40+1)))</f>
        <v>0.00971821980917629</v>
      </c>
      <c r="E40" s="37" t="n">
        <f aca="false">D40-D39</f>
        <v>3.11888131621311E-005</v>
      </c>
      <c r="F40" s="37" t="n">
        <f aca="false">D40*MIN(1,B40*Допущения!$B$21)</f>
        <v>0.00113126524500206</v>
      </c>
      <c r="G40" s="17" t="n">
        <f aca="false">((B40-F40*Допущения!$B$23)*Допущения!$B$13*Допущения!$B$15+B40*Допущения!$B$14*Допущения!$B$16)/1000</f>
        <v>0.045803125008305</v>
      </c>
      <c r="H40" s="17" t="n">
        <f aca="false">E40*Допущения!$B$27</f>
        <v>0.00291615403065926</v>
      </c>
      <c r="I40" s="17" t="n">
        <f aca="false">F40*Допущения!$B$22/30*Допущения!$B$28</f>
        <v>0.00547958805667119</v>
      </c>
      <c r="J40" s="17" t="n">
        <f aca="false">G40*Допущения!$B$17+(H40+I40)*Допущения!$B$18</f>
        <v>0.0270994335478177</v>
      </c>
      <c r="K40" s="19" t="n">
        <f aca="false">K39+J40</f>
        <v>2.54428963585271</v>
      </c>
      <c r="L40" s="19" t="n">
        <f aca="false">L39+G40*Допущения!$B$17</f>
        <v>1.97184287252211</v>
      </c>
      <c r="M40" s="19" t="n">
        <f aca="false">M39+H40*Допущения!$B$18</f>
        <v>0.454326776078992</v>
      </c>
      <c r="N40" s="19" t="n">
        <f aca="false">N39+I40*Допущения!$B$18</f>
        <v>0.118119987251605</v>
      </c>
      <c r="O40" s="19" t="n">
        <f aca="false">O39+G40+H40+I40</f>
        <v>5.08857927170542</v>
      </c>
      <c r="P40" s="17" t="n">
        <f aca="false">P39+F40</f>
        <v>0.0487719277200569</v>
      </c>
      <c r="Q40" s="6" t="n">
        <f aca="false">MIN(MATCH(A40,$S$3:$X$3,1),5)</f>
        <v>3</v>
      </c>
    </row>
    <row r="41" customFormat="false" ht="15" hidden="false" customHeight="false" outlineLevel="0" collapsed="false">
      <c r="A41" s="6" t="n">
        <v>34</v>
      </c>
      <c r="B41" s="14" t="n">
        <f aca="false">INDEX($S$4:$X$4,Q41)*(INDEX($S$4:$X$4,Q41+1)/INDEX($S$4:$X$4,Q41))^((LN(A41)-LN(INDEX($S$3:$X$3,Q41)))/(LN(INDEX($S$3:$X$3,Q41+1))-LN(INDEX($S$3:$X$3,Q41))))</f>
        <v>0.0455353980538167</v>
      </c>
      <c r="C41" s="33" t="n">
        <f aca="false">C40+B41</f>
        <v>4.05195106215646</v>
      </c>
      <c r="D41" s="36" t="n">
        <f aca="false">Допущения!$B$19*(1-EXP(-Допущения!$B$26*(A41+1)))</f>
        <v>0.00974630051241676</v>
      </c>
      <c r="E41" s="37" t="n">
        <f aca="false">D41-D40</f>
        <v>2.80807032404674E-005</v>
      </c>
      <c r="F41" s="37" t="n">
        <f aca="false">D41*MIN(1,B41*Допущения!$B$21)</f>
        <v>0.00110950418346254</v>
      </c>
      <c r="G41" s="17" t="n">
        <f aca="false">((B41-F41*Допущения!$B$23)*Допущения!$B$13*Допущения!$B$15+B41*Допущения!$B$14*Допущения!$B$16)/1000</f>
        <v>0.0447924538571025</v>
      </c>
      <c r="H41" s="17" t="n">
        <f aca="false">E41*Допущения!$B$27</f>
        <v>0.0026255457529837</v>
      </c>
      <c r="I41" s="17" t="n">
        <f aca="false">F41*Допущения!$B$22/30*Допущения!$B$28</f>
        <v>0.00537418249114245</v>
      </c>
      <c r="J41" s="17" t="n">
        <f aca="false">G41*Допущения!$B$17+(H41+I41)*Допущения!$B$18</f>
        <v>0.0263960910506143</v>
      </c>
      <c r="K41" s="19" t="n">
        <f aca="false">K40+J41</f>
        <v>2.57068572690332</v>
      </c>
      <c r="L41" s="19" t="n">
        <f aca="false">L40+G41*Допущения!$B$17</f>
        <v>1.99423909945066</v>
      </c>
      <c r="M41" s="19" t="n">
        <f aca="false">M40+H41*Допущения!$B$18</f>
        <v>0.455639548955483</v>
      </c>
      <c r="N41" s="19" t="n">
        <f aca="false">N40+I41*Допущения!$B$18</f>
        <v>0.120807078497176</v>
      </c>
      <c r="O41" s="19" t="n">
        <f aca="false">O40+G41+H41+I41</f>
        <v>5.14137145380665</v>
      </c>
      <c r="P41" s="17" t="n">
        <f aca="false">P40+F41</f>
        <v>0.0498814319035194</v>
      </c>
      <c r="Q41" s="6" t="n">
        <f aca="false">MIN(MATCH(A41,$S$3:$X$3,1),5)</f>
        <v>3</v>
      </c>
    </row>
    <row r="42" customFormat="false" ht="15" hidden="false" customHeight="false" outlineLevel="0" collapsed="false">
      <c r="A42" s="6" t="n">
        <v>35</v>
      </c>
      <c r="B42" s="14" t="n">
        <f aca="false">INDEX($S$4:$X$4,Q42)*(INDEX($S$4:$X$4,Q42+1)/INDEX($S$4:$X$4,Q42))^((LN(A42)-LN(INDEX($S$3:$X$3,Q42)))/(LN(INDEX($S$3:$X$3,Q42+1))-LN(INDEX($S$3:$X$3,Q42))))</f>
        <v>0.0445596144795337</v>
      </c>
      <c r="C42" s="33" t="n">
        <f aca="false">C41+B42</f>
        <v>4.096510676636</v>
      </c>
      <c r="D42" s="36" t="n">
        <f aca="false">Допущения!$B$19*(1-EXP(-Допущения!$B$26*(A42+1)))</f>
        <v>0.00977158284330829</v>
      </c>
      <c r="E42" s="37" t="n">
        <f aca="false">D42-D41</f>
        <v>2.52823308915292E-005</v>
      </c>
      <c r="F42" s="37" t="n">
        <f aca="false">D42*MIN(1,B42*Допущения!$B$21)</f>
        <v>0.00108854491088161</v>
      </c>
      <c r="G42" s="17" t="n">
        <f aca="false">((B42-F42*Допущения!$B$23)*Допущения!$B$13*Допущения!$B$15+B42*Допущения!$B$14*Допущения!$B$16)/1000</f>
        <v>0.0438324388371531</v>
      </c>
      <c r="H42" s="17" t="n">
        <f aca="false">E42*Допущения!$B$27</f>
        <v>0.00236389793835798</v>
      </c>
      <c r="I42" s="17" t="n">
        <f aca="false">F42*Допущения!$B$22/30*Допущения!$B$28</f>
        <v>0.00527266060649305</v>
      </c>
      <c r="J42" s="17" t="n">
        <f aca="false">G42*Допущения!$B$17+(H42+I42)*Допущения!$B$18</f>
        <v>0.0257344986910021</v>
      </c>
      <c r="K42" s="19" t="n">
        <f aca="false">K41+J42</f>
        <v>2.59642022559433</v>
      </c>
      <c r="L42" s="19" t="n">
        <f aca="false">L41+G42*Допущения!$B$17</f>
        <v>2.01615531886924</v>
      </c>
      <c r="M42" s="19" t="n">
        <f aca="false">M41+H42*Допущения!$B$18</f>
        <v>0.456821497924662</v>
      </c>
      <c r="N42" s="19" t="n">
        <f aca="false">N41+I42*Допущения!$B$18</f>
        <v>0.123443408800423</v>
      </c>
      <c r="O42" s="19" t="n">
        <f aca="false">O41+G42+H42+I42</f>
        <v>5.19284045118865</v>
      </c>
      <c r="P42" s="17" t="n">
        <f aca="false">P41+F42</f>
        <v>0.050969976814401</v>
      </c>
      <c r="Q42" s="6" t="n">
        <f aca="false">MIN(MATCH(A42,$S$3:$X$3,1),5)</f>
        <v>3</v>
      </c>
    </row>
    <row r="43" customFormat="false" ht="15" hidden="false" customHeight="false" outlineLevel="0" collapsed="false">
      <c r="A43" s="6" t="n">
        <v>36</v>
      </c>
      <c r="B43" s="14" t="n">
        <f aca="false">INDEX($S$4:$X$4,Q43)*(INDEX($S$4:$X$4,Q43+1)/INDEX($S$4:$X$4,Q43))^((LN(A43)-LN(INDEX($S$3:$X$3,Q43)))/(LN(INDEX($S$3:$X$3,Q43+1))-LN(INDEX($S$3:$X$3,Q43))))</f>
        <v>0.0436313603446202</v>
      </c>
      <c r="C43" s="33" t="n">
        <f aca="false">C42+B43</f>
        <v>4.14014203698062</v>
      </c>
      <c r="D43" s="36" t="n">
        <f aca="false">Допущения!$B$19*(1-EXP(-Допущения!$B$26*(A43+1)))</f>
        <v>0.00979434567263756</v>
      </c>
      <c r="E43" s="37" t="n">
        <f aca="false">D43-D42</f>
        <v>2.27628293292762E-005</v>
      </c>
      <c r="F43" s="37" t="n">
        <f aca="false">D43*MIN(1,B43*Допущения!$B$21)</f>
        <v>0.00106835156345655</v>
      </c>
      <c r="G43" s="17" t="n">
        <f aca="false">((B43-F43*Допущения!$B$23)*Допущения!$B$13*Допущения!$B$15+B43*Допущения!$B$14*Допущения!$B$16)/1000</f>
        <v>0.0429191989550242</v>
      </c>
      <c r="H43" s="17" t="n">
        <f aca="false">E43*Допущения!$B$27</f>
        <v>0.00212832454228733</v>
      </c>
      <c r="I43" s="17" t="n">
        <f aca="false">F43*Допущения!$B$22/30*Допущения!$B$28</f>
        <v>0.00517484868673028</v>
      </c>
      <c r="J43" s="17" t="n">
        <f aca="false">G43*Допущения!$B$17+(H43+I43)*Допущения!$B$18</f>
        <v>0.0251111860920209</v>
      </c>
      <c r="K43" s="19" t="n">
        <f aca="false">K42+J43</f>
        <v>2.62153141168635</v>
      </c>
      <c r="L43" s="19" t="n">
        <f aca="false">L42+G43*Допущения!$B$17</f>
        <v>2.03761491834675</v>
      </c>
      <c r="M43" s="19" t="n">
        <f aca="false">M42+H43*Допущения!$B$18</f>
        <v>0.457885660195806</v>
      </c>
      <c r="N43" s="19" t="n">
        <f aca="false">N42+I43*Допущения!$B$18</f>
        <v>0.126030833143788</v>
      </c>
      <c r="O43" s="19" t="n">
        <f aca="false">O42+G43+H43+I43</f>
        <v>5.24306282337269</v>
      </c>
      <c r="P43" s="17" t="n">
        <f aca="false">P42+F43</f>
        <v>0.0520383283778576</v>
      </c>
      <c r="Q43" s="6" t="n">
        <f aca="false">MIN(MATCH(A43,$S$3:$X$3,1),5)</f>
        <v>3</v>
      </c>
    </row>
    <row r="44" customFormat="false" ht="15" hidden="false" customHeight="false" outlineLevel="0" collapsed="false">
      <c r="A44" s="6" t="n">
        <v>37</v>
      </c>
      <c r="B44" s="14" t="n">
        <f aca="false">INDEX($S$4:$X$4,Q44)*(INDEX($S$4:$X$4,Q44+1)/INDEX($S$4:$X$4,Q44))^((LN(A44)-LN(INDEX($S$3:$X$3,Q44)))/(LN(INDEX($S$3:$X$3,Q44+1))-LN(INDEX($S$3:$X$3,Q44))))</f>
        <v>0.0427470942315909</v>
      </c>
      <c r="C44" s="33" t="n">
        <f aca="false">C43+B44</f>
        <v>4.18288913121221</v>
      </c>
      <c r="D44" s="36" t="n">
        <f aca="false">Допущения!$B$19*(1-EXP(-Допущения!$B$26*(A44+1)))</f>
        <v>0.00981484008042365</v>
      </c>
      <c r="E44" s="37" t="n">
        <f aca="false">D44-D43</f>
        <v>2.04944077860855E-005</v>
      </c>
      <c r="F44" s="37" t="n">
        <f aca="false">D44*MIN(1,B44*Допущения!$B$21)</f>
        <v>0.00104888973446466</v>
      </c>
      <c r="G44" s="17" t="n">
        <f aca="false">((B44-F44*Допущения!$B$23)*Допущения!$B$13*Допущения!$B$15+B44*Допущения!$B$14*Допущения!$B$16)/1000</f>
        <v>0.0420492477724559</v>
      </c>
      <c r="H44" s="17" t="n">
        <f aca="false">E44*Допущения!$B$27</f>
        <v>0.001916227127999</v>
      </c>
      <c r="I44" s="17" t="n">
        <f aca="false">F44*Допущения!$B$22/30*Допущения!$B$28</f>
        <v>0.00508058007362112</v>
      </c>
      <c r="J44" s="17" t="n">
        <f aca="false">G44*Допущения!$B$17+(H44+I44)*Допущения!$B$18</f>
        <v>0.024523027487038</v>
      </c>
      <c r="K44" s="19" t="n">
        <f aca="false">K43+J44</f>
        <v>2.64605443917338</v>
      </c>
      <c r="L44" s="19" t="n">
        <f aca="false">L43+G44*Допущения!$B$17</f>
        <v>2.05863954223298</v>
      </c>
      <c r="M44" s="19" t="n">
        <f aca="false">M43+H44*Допущения!$B$18</f>
        <v>0.458843773759806</v>
      </c>
      <c r="N44" s="19" t="n">
        <f aca="false">N43+I44*Допущения!$B$18</f>
        <v>0.128571123180598</v>
      </c>
      <c r="O44" s="19" t="n">
        <f aca="false">O43+G44+H44+I44</f>
        <v>5.29210887834677</v>
      </c>
      <c r="P44" s="17" t="n">
        <f aca="false">P43+F44</f>
        <v>0.0530872181123222</v>
      </c>
      <c r="Q44" s="6" t="n">
        <f aca="false">MIN(MATCH(A44,$S$3:$X$3,1),5)</f>
        <v>3</v>
      </c>
    </row>
    <row r="45" customFormat="false" ht="15" hidden="false" customHeight="false" outlineLevel="0" collapsed="false">
      <c r="A45" s="6" t="n">
        <v>38</v>
      </c>
      <c r="B45" s="14" t="n">
        <f aca="false">INDEX($S$4:$X$4,Q45)*(INDEX($S$4:$X$4,Q45+1)/INDEX($S$4:$X$4,Q45))^((LN(A45)-LN(INDEX($S$3:$X$3,Q45)))/(LN(INDEX($S$3:$X$3,Q45+1))-LN(INDEX($S$3:$X$3,Q45))))</f>
        <v>0.0419036251431026</v>
      </c>
      <c r="C45" s="33" t="n">
        <f aca="false">C44+B45</f>
        <v>4.22479275635531</v>
      </c>
      <c r="D45" s="36" t="n">
        <f aca="false">Допущения!$B$19*(1-EXP(-Допущения!$B$26*(A45+1)))</f>
        <v>0.00983329212539691</v>
      </c>
      <c r="E45" s="37" t="n">
        <f aca="false">D45-D44</f>
        <v>1.84520449732582E-005</v>
      </c>
      <c r="F45" s="37" t="n">
        <f aca="false">D45*MIN(1,B45*Допущения!$B$21)</f>
        <v>0.00103012646786314</v>
      </c>
      <c r="G45" s="17" t="n">
        <f aca="false">((B45-F45*Допущения!$B$23)*Допущения!$B$13*Допущения!$B$15+B45*Допущения!$B$14*Допущения!$B$16)/1000</f>
        <v>0.0412194439366915</v>
      </c>
      <c r="H45" s="17" t="n">
        <f aca="false">E45*Допущения!$B$27</f>
        <v>0.00172526620499964</v>
      </c>
      <c r="I45" s="17" t="n">
        <f aca="false">F45*Допущения!$B$22/30*Допущения!$B$28</f>
        <v>0.00498969513569158</v>
      </c>
      <c r="J45" s="17" t="n">
        <f aca="false">G45*Допущения!$B$17+(H45+I45)*Допущения!$B$18</f>
        <v>0.0239672026386913</v>
      </c>
      <c r="K45" s="19" t="n">
        <f aca="false">K44+J45</f>
        <v>2.67002164181208</v>
      </c>
      <c r="L45" s="19" t="n">
        <f aca="false">L44+G45*Допущения!$B$17</f>
        <v>2.07924926420133</v>
      </c>
      <c r="M45" s="19" t="n">
        <f aca="false">M44+H45*Допущения!$B$18</f>
        <v>0.459706406862305</v>
      </c>
      <c r="N45" s="19" t="n">
        <f aca="false">N44+I45*Допущения!$B$18</f>
        <v>0.131065970748444</v>
      </c>
      <c r="O45" s="19" t="n">
        <f aca="false">O44+G45+H45+I45</f>
        <v>5.34004328362415</v>
      </c>
      <c r="P45" s="17" t="n">
        <f aca="false">P44+F45</f>
        <v>0.0541173445801854</v>
      </c>
      <c r="Q45" s="6" t="n">
        <f aca="false">MIN(MATCH(A45,$S$3:$X$3,1),5)</f>
        <v>3</v>
      </c>
    </row>
    <row r="46" customFormat="false" ht="15" hidden="false" customHeight="false" outlineLevel="0" collapsed="false">
      <c r="A46" s="6" t="n">
        <v>39</v>
      </c>
      <c r="B46" s="14" t="n">
        <f aca="false">INDEX($S$4:$X$4,Q46)*(INDEX($S$4:$X$4,Q46+1)/INDEX($S$4:$X$4,Q46))^((LN(A46)-LN(INDEX($S$3:$X$3,Q46)))/(LN(INDEX($S$3:$X$3,Q46+1))-LN(INDEX($S$3:$X$3,Q46))))</f>
        <v>0.0410980697046366</v>
      </c>
      <c r="C46" s="33" t="n">
        <f aca="false">C45+B46</f>
        <v>4.26589082605995</v>
      </c>
      <c r="D46" s="36" t="n">
        <f aca="false">Допущения!$B$19*(1-EXP(-Допущения!$B$26*(A46+1)))</f>
        <v>0.00984990533848649</v>
      </c>
      <c r="E46" s="37" t="n">
        <f aca="false">D46-D45</f>
        <v>1.66132130895863E-005</v>
      </c>
      <c r="F46" s="37" t="n">
        <f aca="false">D46*MIN(1,B46*Допущения!$B$21)</f>
        <v>0.00101203024046297</v>
      </c>
      <c r="G46" s="17" t="n">
        <f aca="false">((B46-F46*Допущения!$B$23)*Допущения!$B$13*Допущения!$B$15+B46*Допущения!$B$14*Допущения!$B$16)/1000</f>
        <v>0.040426949026082</v>
      </c>
      <c r="H46" s="17" t="n">
        <f aca="false">E46*Допущения!$B$27</f>
        <v>0.00155333542387632</v>
      </c>
      <c r="I46" s="17" t="n">
        <f aca="false">F46*Допущения!$B$22/30*Допущения!$B$28</f>
        <v>0.00490204118188117</v>
      </c>
      <c r="J46" s="17" t="n">
        <f aca="false">G46*Допущения!$B$17+(H46+I46)*Допущения!$B$18</f>
        <v>0.0234411628159198</v>
      </c>
      <c r="K46" s="19" t="n">
        <f aca="false">K45+J46</f>
        <v>2.693462804628</v>
      </c>
      <c r="L46" s="19" t="n">
        <f aca="false">L45+G46*Допущения!$B$17</f>
        <v>2.09946273871437</v>
      </c>
      <c r="M46" s="19" t="n">
        <f aca="false">M45+H46*Допущения!$B$18</f>
        <v>0.460483074574244</v>
      </c>
      <c r="N46" s="19" t="n">
        <f aca="false">N45+I46*Допущения!$B$18</f>
        <v>0.133516991339385</v>
      </c>
      <c r="O46" s="19" t="n">
        <f aca="false">O45+G46+H46+I46</f>
        <v>5.38692560925599</v>
      </c>
      <c r="P46" s="17" t="n">
        <f aca="false">P45+F46</f>
        <v>0.0551293748206484</v>
      </c>
      <c r="Q46" s="6" t="n">
        <f aca="false">MIN(MATCH(A46,$S$3:$X$3,1),5)</f>
        <v>3</v>
      </c>
    </row>
    <row r="47" customFormat="false" ht="15" hidden="false" customHeight="false" outlineLevel="0" collapsed="false">
      <c r="A47" s="6" t="n">
        <v>40</v>
      </c>
      <c r="B47" s="14" t="n">
        <f aca="false">INDEX($S$4:$X$4,Q47)*(INDEX($S$4:$X$4,Q47+1)/INDEX($S$4:$X$4,Q47))^((LN(A47)-LN(INDEX($S$3:$X$3,Q47)))/(LN(INDEX($S$3:$X$3,Q47+1))-LN(INDEX($S$3:$X$3,Q47))))</f>
        <v>0.0403278155364757</v>
      </c>
      <c r="C47" s="33" t="n">
        <f aca="false">C46+B47</f>
        <v>4.30621864159642</v>
      </c>
      <c r="D47" s="36" t="n">
        <f aca="false">Допущения!$B$19*(1-EXP(-Допущения!$B$26*(A47+1)))</f>
        <v>0.00986486296782026</v>
      </c>
      <c r="E47" s="37" t="n">
        <f aca="false">D47-D46</f>
        <v>1.49576293337651E-005</v>
      </c>
      <c r="F47" s="37" t="n">
        <f aca="false">D47*MIN(1,B47*Допущения!$B$21)</f>
        <v>0.000994570935147164</v>
      </c>
      <c r="G47" s="17" t="n">
        <f aca="false">((B47-F47*Допущения!$B$23)*Допущения!$B$13*Допущения!$B$15+B47*Допущения!$B$14*Допущения!$B$16)/1000</f>
        <v>0.0396691914729306</v>
      </c>
      <c r="H47" s="17" t="n">
        <f aca="false">E47*Допущения!$B$27</f>
        <v>0.00139853834270704</v>
      </c>
      <c r="I47" s="17" t="n">
        <f aca="false">F47*Допущения!$B$22/30*Допущения!$B$28</f>
        <v>0.00481747233181797</v>
      </c>
      <c r="J47" s="17" t="n">
        <f aca="false">G47*Допущения!$B$17+(H47+I47)*Допущения!$B$18</f>
        <v>0.0229426010737278</v>
      </c>
      <c r="K47" s="19" t="n">
        <f aca="false">K46+J47</f>
        <v>2.71640540570172</v>
      </c>
      <c r="L47" s="19" t="n">
        <f aca="false">L46+G47*Допущения!$B$17</f>
        <v>2.11929733445083</v>
      </c>
      <c r="M47" s="19" t="n">
        <f aca="false">M46+H47*Допущения!$B$18</f>
        <v>0.461182343745597</v>
      </c>
      <c r="N47" s="19" t="n">
        <f aca="false">N46+I47*Допущения!$B$18</f>
        <v>0.135925727505294</v>
      </c>
      <c r="O47" s="19" t="n">
        <f aca="false">O46+G47+H47+I47</f>
        <v>5.43281081140345</v>
      </c>
      <c r="P47" s="17" t="n">
        <f aca="false">P46+F47</f>
        <v>0.0561239457557955</v>
      </c>
      <c r="Q47" s="6" t="n">
        <f aca="false">MIN(MATCH(A47,$S$3:$X$3,1),5)</f>
        <v>3</v>
      </c>
    </row>
    <row r="48" customFormat="false" ht="15" hidden="false" customHeight="false" outlineLevel="0" collapsed="false">
      <c r="A48" s="6" t="n">
        <v>41</v>
      </c>
      <c r="B48" s="14" t="n">
        <f aca="false">INDEX($S$4:$X$4,Q48)*(INDEX($S$4:$X$4,Q48+1)/INDEX($S$4:$X$4,Q48))^((LN(A48)-LN(INDEX($S$3:$X$3,Q48)))/(LN(INDEX($S$3:$X$3,Q48+1))-LN(INDEX($S$3:$X$3,Q48))))</f>
        <v>0.0395904897764616</v>
      </c>
      <c r="C48" s="33" t="n">
        <f aca="false">C47+B48</f>
        <v>4.34580913137288</v>
      </c>
      <c r="D48" s="36" t="n">
        <f aca="false">Допущения!$B$19*(1-EXP(-Допущения!$B$26*(A48+1)))</f>
        <v>0.00987833</v>
      </c>
      <c r="E48" s="37" t="n">
        <f aca="false">D48-D47</f>
        <v>1.34670321797412E-005</v>
      </c>
      <c r="F48" s="37" t="n">
        <f aca="false">D48*MIN(1,B48*Допущения!$B$21)</f>
        <v>0.000977719807183784</v>
      </c>
      <c r="G48" s="17" t="n">
        <f aca="false">((B48-F48*Допущения!$B$23)*Допущения!$B$13*Допущения!$B$15+B48*Допущения!$B$14*Допущения!$B$16)/1000</f>
        <v>0.0389438355602267</v>
      </c>
      <c r="H48" s="17" t="n">
        <f aca="false">E48*Допущения!$B$27</f>
        <v>0.0012591675088058</v>
      </c>
      <c r="I48" s="17" t="n">
        <f aca="false">F48*Допущения!$B$22/30*Допущения!$B$28</f>
        <v>0.00473584935264706</v>
      </c>
      <c r="J48" s="17" t="n">
        <f aca="false">G48*Допущения!$B$17+(H48+I48)*Допущения!$B$18</f>
        <v>0.0224694262108398</v>
      </c>
      <c r="K48" s="19" t="n">
        <f aca="false">K47+J48</f>
        <v>2.73887483191256</v>
      </c>
      <c r="L48" s="19" t="n">
        <f aca="false">L47+G48*Допущения!$B$17</f>
        <v>2.13876925223095</v>
      </c>
      <c r="M48" s="19" t="n">
        <f aca="false">M47+H48*Допущения!$B$18</f>
        <v>0.4618119275</v>
      </c>
      <c r="N48" s="19" t="n">
        <f aca="false">N47+I48*Допущения!$B$18</f>
        <v>0.138293652181617</v>
      </c>
      <c r="O48" s="19" t="n">
        <f aca="false">O47+G48+H48+I48</f>
        <v>5.47774966382513</v>
      </c>
      <c r="P48" s="17" t="n">
        <f aca="false">P47+F48</f>
        <v>0.0571016655629793</v>
      </c>
      <c r="Q48" s="6" t="n">
        <f aca="false">MIN(MATCH(A48,$S$3:$X$3,1),5)</f>
        <v>3</v>
      </c>
    </row>
    <row r="49" customFormat="false" ht="15" hidden="false" customHeight="false" outlineLevel="0" collapsed="false">
      <c r="A49" s="6" t="n">
        <v>42</v>
      </c>
      <c r="B49" s="14" t="n">
        <f aca="false">INDEX($S$4:$X$4,Q49)*(INDEX($S$4:$X$4,Q49+1)/INDEX($S$4:$X$4,Q49))^((LN(A49)-LN(INDEX($S$3:$X$3,Q49)))/(LN(INDEX($S$3:$X$3,Q49+1))-LN(INDEX($S$3:$X$3,Q49))))</f>
        <v>0.0388839319234778</v>
      </c>
      <c r="C49" s="33" t="n">
        <f aca="false">C48+B49</f>
        <v>4.38469306329636</v>
      </c>
      <c r="D49" s="36" t="n">
        <f aca="false">Допущения!$B$19*(1-EXP(-Допущения!$B$26*(A49+1)))</f>
        <v>0.00989045497994724</v>
      </c>
      <c r="E49" s="37" t="n">
        <f aca="false">D49-D48</f>
        <v>1.21249799472419E-005</v>
      </c>
      <c r="F49" s="37" t="n">
        <f aca="false">D49*MIN(1,B49*Допущения!$B$21)</f>
        <v>0.000961449445331226</v>
      </c>
      <c r="G49" s="17" t="n">
        <f aca="false">((B49-F49*Допущения!$B$23)*Допущения!$B$13*Допущения!$B$15+B49*Допущения!$B$14*Допущения!$B$16)/1000</f>
        <v>0.0382487546745777</v>
      </c>
      <c r="H49" s="17" t="n">
        <f aca="false">E49*Допущения!$B$27</f>
        <v>0.00113368562506712</v>
      </c>
      <c r="I49" s="17" t="n">
        <f aca="false">F49*Допущения!$B$22/30*Допущения!$B$28</f>
        <v>0.0046570394706332</v>
      </c>
      <c r="J49" s="17" t="n">
        <f aca="false">G49*Допущения!$B$17+(H49+I49)*Допущения!$B$18</f>
        <v>0.022019739885139</v>
      </c>
      <c r="K49" s="19" t="n">
        <f aca="false">K48+J49</f>
        <v>2.7608945717977</v>
      </c>
      <c r="L49" s="19" t="n">
        <f aca="false">L48+G49*Допущения!$B$17</f>
        <v>2.15789362956823</v>
      </c>
      <c r="M49" s="19" t="n">
        <f aca="false">M48+H49*Допущения!$B$18</f>
        <v>0.462378770312534</v>
      </c>
      <c r="N49" s="19" t="n">
        <f aca="false">N48+I49*Допущения!$B$18</f>
        <v>0.140622171916934</v>
      </c>
      <c r="O49" s="19" t="n">
        <f aca="false">O48+G49+H49+I49</f>
        <v>5.52178914359541</v>
      </c>
      <c r="P49" s="17" t="n">
        <f aca="false">P48+F49</f>
        <v>0.0580631150083105</v>
      </c>
      <c r="Q49" s="6" t="n">
        <f aca="false">MIN(MATCH(A49,$S$3:$X$3,1),5)</f>
        <v>3</v>
      </c>
    </row>
    <row r="50" customFormat="false" ht="15" hidden="false" customHeight="false" outlineLevel="0" collapsed="false">
      <c r="A50" s="6" t="n">
        <v>43</v>
      </c>
      <c r="B50" s="14" t="n">
        <f aca="false">INDEX($S$4:$X$4,Q50)*(INDEX($S$4:$X$4,Q50+1)/INDEX($S$4:$X$4,Q50))^((LN(A50)-LN(INDEX($S$3:$X$3,Q50)))/(LN(INDEX($S$3:$X$3,Q50+1))-LN(INDEX($S$3:$X$3,Q50))))</f>
        <v>0.0382061703216153</v>
      </c>
      <c r="C50" s="33" t="n">
        <f aca="false">C49+B50</f>
        <v>4.42289923361798</v>
      </c>
      <c r="D50" s="36" t="n">
        <f aca="false">Допущения!$B$19*(1-EXP(-Допущения!$B$26*(A50+1)))</f>
        <v>0.00990137164939296</v>
      </c>
      <c r="E50" s="37" t="n">
        <f aca="false">D50-D49</f>
        <v>1.09166694457138E-005</v>
      </c>
      <c r="F50" s="37" t="n">
        <f aca="false">D50*MIN(1,B50*Допущения!$B$21)</f>
        <v>0.0009457337291358</v>
      </c>
      <c r="G50" s="17" t="n">
        <f aca="false">((B50-F50*Допущения!$B$23)*Допущения!$B$13*Допущения!$B$15+B50*Допущения!$B$14*Допущения!$B$16)/1000</f>
        <v>0.0375820081454177</v>
      </c>
      <c r="H50" s="17" t="n">
        <f aca="false">E50*Допущения!$B$27</f>
        <v>0.00102070859317424</v>
      </c>
      <c r="I50" s="17" t="n">
        <f aca="false">F50*Допущения!$B$22/30*Допущения!$B$28</f>
        <v>0.00458091616432024</v>
      </c>
      <c r="J50" s="17" t="n">
        <f aca="false">G50*Допущения!$B$17+(H50+I50)*Допущения!$B$18</f>
        <v>0.0215918164514561</v>
      </c>
      <c r="K50" s="19" t="n">
        <f aca="false">K49+J50</f>
        <v>2.78248638824916</v>
      </c>
      <c r="L50" s="19" t="n">
        <f aca="false">L49+G50*Допущения!$B$17</f>
        <v>2.17668463364094</v>
      </c>
      <c r="M50" s="19" t="n">
        <f aca="false">M49+H50*Допущения!$B$18</f>
        <v>0.462889124609121</v>
      </c>
      <c r="N50" s="19" t="n">
        <f aca="false">N49+I50*Допущения!$B$18</f>
        <v>0.142912629999094</v>
      </c>
      <c r="O50" s="19" t="n">
        <f aca="false">O49+G50+H50+I50</f>
        <v>5.56497277649832</v>
      </c>
      <c r="P50" s="17" t="n">
        <f aca="false">P49+F50</f>
        <v>0.0590088487374463</v>
      </c>
      <c r="Q50" s="6" t="n">
        <f aca="false">MIN(MATCH(A50,$S$3:$X$3,1),5)</f>
        <v>3</v>
      </c>
    </row>
    <row r="51" customFormat="false" ht="15" hidden="false" customHeight="false" outlineLevel="0" collapsed="false">
      <c r="A51" s="6" t="n">
        <v>44</v>
      </c>
      <c r="B51" s="14" t="n">
        <f aca="false">INDEX($S$4:$X$4,Q51)*(INDEX($S$4:$X$4,Q51+1)/INDEX($S$4:$X$4,Q51))^((LN(A51)-LN(INDEX($S$3:$X$3,Q51)))/(LN(INDEX($S$3:$X$3,Q51+1))-LN(INDEX($S$3:$X$3,Q51))))</f>
        <v>0.0375554017250704</v>
      </c>
      <c r="C51" s="33" t="n">
        <f aca="false">C50+B51</f>
        <v>4.46045463534305</v>
      </c>
      <c r="D51" s="36" t="n">
        <f aca="false">Допущения!$B$19*(1-EXP(-Допущения!$B$26*(A51+1)))</f>
        <v>0.00991120042208417</v>
      </c>
      <c r="E51" s="37" t="n">
        <f aca="false">D51-D50</f>
        <v>9.82877269121302E-006</v>
      </c>
      <c r="F51" s="37" t="n">
        <f aca="false">D51*MIN(1,B51*Допущения!$B$21)</f>
        <v>0.000930547783572646</v>
      </c>
      <c r="G51" s="17" t="n">
        <f aca="false">((B51-F51*Допущения!$B$23)*Допущения!$B$13*Допущения!$B$15+B51*Допущения!$B$14*Допущения!$B$16)/1000</f>
        <v>0.0369418211188814</v>
      </c>
      <c r="H51" s="17" t="n">
        <f aca="false">E51*Допущения!$B$27</f>
        <v>0.000918990246628417</v>
      </c>
      <c r="I51" s="17" t="n">
        <f aca="false">F51*Допущения!$B$22/30*Допущения!$B$28</f>
        <v>0.0045073589448222</v>
      </c>
      <c r="J51" s="17" t="n">
        <f aca="false">G51*Допущения!$B$17+(H51+I51)*Допущения!$B$18</f>
        <v>0.021184085155166</v>
      </c>
      <c r="K51" s="19" t="n">
        <f aca="false">K50+J51</f>
        <v>2.80367047340432</v>
      </c>
      <c r="L51" s="19" t="n">
        <f aca="false">L50+G51*Допущения!$B$17</f>
        <v>2.19515554420038</v>
      </c>
      <c r="M51" s="19" t="n">
        <f aca="false">M50+H51*Допущения!$B$18</f>
        <v>0.463348619732435</v>
      </c>
      <c r="N51" s="19" t="n">
        <f aca="false">N50+I51*Допущения!$B$18</f>
        <v>0.145166309471505</v>
      </c>
      <c r="O51" s="19" t="n">
        <f aca="false">O50+G51+H51+I51</f>
        <v>5.60734094680865</v>
      </c>
      <c r="P51" s="17" t="n">
        <f aca="false">P50+F51</f>
        <v>0.059939396521019</v>
      </c>
      <c r="Q51" s="6" t="n">
        <f aca="false">MIN(MATCH(A51,$S$3:$X$3,1),5)</f>
        <v>3</v>
      </c>
    </row>
    <row r="52" customFormat="false" ht="15" hidden="false" customHeight="false" outlineLevel="0" collapsed="false">
      <c r="A52" s="6" t="n">
        <v>45</v>
      </c>
      <c r="B52" s="14" t="n">
        <f aca="false">INDEX($S$4:$X$4,Q52)*(INDEX($S$4:$X$4,Q52+1)/INDEX($S$4:$X$4,Q52))^((LN(A52)-LN(INDEX($S$3:$X$3,Q52)))/(LN(INDEX($S$3:$X$3,Q52+1))-LN(INDEX($S$3:$X$3,Q52))))</f>
        <v>0.0369299734805108</v>
      </c>
      <c r="C52" s="33" t="n">
        <f aca="false">C51+B52</f>
        <v>4.49738460882356</v>
      </c>
      <c r="D52" s="36" t="n">
        <f aca="false">Допущения!$B$19*(1-EXP(-Допущения!$B$26*(A52+1)))</f>
        <v>0.0099200497119794</v>
      </c>
      <c r="E52" s="37" t="n">
        <f aca="false">D52-D51</f>
        <v>8.84928989523456E-006</v>
      </c>
      <c r="F52" s="37" t="n">
        <f aca="false">D52*MIN(1,B52*Допущения!$B$21)</f>
        <v>0.000915867931971871</v>
      </c>
      <c r="G52" s="17" t="n">
        <f aca="false">((B52-F52*Допущения!$B$23)*Допущения!$B$13*Допущения!$B$15+B52*Допущения!$B$14*Допущения!$B$16)/1000</f>
        <v>0.0363265670099767</v>
      </c>
      <c r="H52" s="17" t="n">
        <f aca="false">E52*Допущения!$B$27</f>
        <v>0.000827408605204432</v>
      </c>
      <c r="I52" s="17" t="n">
        <f aca="false">F52*Допущения!$B$22/30*Допущения!$B$28</f>
        <v>0.0044362531278083</v>
      </c>
      <c r="J52" s="17" t="n">
        <f aca="false">G52*Допущения!$B$17+(H52+I52)*Допущения!$B$18</f>
        <v>0.0207951143714947</v>
      </c>
      <c r="K52" s="19" t="n">
        <f aca="false">K51+J52</f>
        <v>2.82446558777582</v>
      </c>
      <c r="L52" s="19" t="n">
        <f aca="false">L51+G52*Допущения!$B$17</f>
        <v>2.21331882770537</v>
      </c>
      <c r="M52" s="19" t="n">
        <f aca="false">M51+H52*Допущения!$B$18</f>
        <v>0.463762324035037</v>
      </c>
      <c r="N52" s="19" t="n">
        <f aca="false">N51+I52*Допущения!$B$18</f>
        <v>0.147384436035409</v>
      </c>
      <c r="O52" s="19" t="n">
        <f aca="false">O51+G52+H52+I52</f>
        <v>5.64893117555164</v>
      </c>
      <c r="P52" s="17" t="n">
        <f aca="false">P51+F52</f>
        <v>0.0608552644529908</v>
      </c>
      <c r="Q52" s="6" t="n">
        <f aca="false">MIN(MATCH(A52,$S$3:$X$3,1),5)</f>
        <v>3</v>
      </c>
    </row>
    <row r="53" customFormat="false" ht="15" hidden="false" customHeight="false" outlineLevel="0" collapsed="false">
      <c r="A53" s="6" t="n">
        <v>46</v>
      </c>
      <c r="B53" s="14" t="n">
        <f aca="false">INDEX($S$4:$X$4,Q53)*(INDEX($S$4:$X$4,Q53+1)/INDEX($S$4:$X$4,Q53))^((LN(A53)-LN(INDEX($S$3:$X$3,Q53)))/(LN(INDEX($S$3:$X$3,Q53+1))-LN(INDEX($S$3:$X$3,Q53))))</f>
        <v>0.036328367941888</v>
      </c>
      <c r="C53" s="33" t="n">
        <f aca="false">C52+B53</f>
        <v>4.53371297676545</v>
      </c>
      <c r="D53" s="36" t="n">
        <f aca="false">Допущения!$B$19*(1-EXP(-Допущения!$B$26*(A53+1)))</f>
        <v>0.00992801712908326</v>
      </c>
      <c r="E53" s="37" t="n">
        <f aca="false">D53-D52</f>
        <v>7.96741710385428E-006</v>
      </c>
      <c r="F53" s="37" t="n">
        <f aca="false">D53*MIN(1,B53*Допущения!$B$21)</f>
        <v>0.000901671647996757</v>
      </c>
      <c r="G53" s="17" t="n">
        <f aca="false">((B53-F53*Допущения!$B$23)*Допущения!$B$13*Допущения!$B$15+B53*Допущения!$B$14*Допущения!$B$16)/1000</f>
        <v>0.0357347521537678</v>
      </c>
      <c r="H53" s="17" t="n">
        <f aca="false">E53*Допущения!$B$27</f>
        <v>0.000744953499210375</v>
      </c>
      <c r="I53" s="17" t="n">
        <f aca="false">F53*Допущения!$B$22/30*Допущения!$B$28</f>
        <v>0.00436748960089644</v>
      </c>
      <c r="J53" s="17" t="n">
        <f aca="false">G53*Допущения!$B$17+(H53+I53)*Допущения!$B$18</f>
        <v>0.0204235976269373</v>
      </c>
      <c r="K53" s="19" t="n">
        <f aca="false">K52+J53</f>
        <v>2.84488918540276</v>
      </c>
      <c r="L53" s="19" t="n">
        <f aca="false">L52+G53*Допущения!$B$17</f>
        <v>2.23118620378226</v>
      </c>
      <c r="M53" s="19" t="n">
        <f aca="false">M52+H53*Допущения!$B$18</f>
        <v>0.464134800784642</v>
      </c>
      <c r="N53" s="19" t="n">
        <f aca="false">N52+I53*Допущения!$B$18</f>
        <v>0.149568180835858</v>
      </c>
      <c r="O53" s="19" t="n">
        <f aca="false">O52+G53+H53+I53</f>
        <v>5.68977837080551</v>
      </c>
      <c r="P53" s="17" t="n">
        <f aca="false">P52+F53</f>
        <v>0.0617569361009876</v>
      </c>
      <c r="Q53" s="6" t="n">
        <f aca="false">MIN(MATCH(A53,$S$3:$X$3,1),5)</f>
        <v>3</v>
      </c>
    </row>
    <row r="54" customFormat="false" ht="15" hidden="false" customHeight="false" outlineLevel="0" collapsed="false">
      <c r="A54" s="6" t="n">
        <v>47</v>
      </c>
      <c r="B54" s="14" t="n">
        <f aca="false">INDEX($S$4:$X$4,Q54)*(INDEX($S$4:$X$4,Q54+1)/INDEX($S$4:$X$4,Q54))^((LN(A54)-LN(INDEX($S$3:$X$3,Q54)))/(LN(INDEX($S$3:$X$3,Q54+1))-LN(INDEX($S$3:$X$3,Q54))))</f>
        <v>0.0357491887963182</v>
      </c>
      <c r="C54" s="33" t="n">
        <f aca="false">C53+B54</f>
        <v>4.56946216556177</v>
      </c>
      <c r="D54" s="36" t="n">
        <f aca="false">Допущения!$B$19*(1-EXP(-Допущения!$B$26*(A54+1)))</f>
        <v>0.00993519055611055</v>
      </c>
      <c r="E54" s="37" t="n">
        <f aca="false">D54-D53</f>
        <v>7.17342702728947E-006</v>
      </c>
      <c r="F54" s="37" t="n">
        <f aca="false">D54*MIN(1,B54*Допущения!$B$21)</f>
        <v>0.000887937507294484</v>
      </c>
      <c r="G54" s="17" t="n">
        <f aca="false">((B54-F54*Допущения!$B$23)*Допущения!$B$13*Допущения!$B$15+B54*Допущения!$B$14*Допущения!$B$16)/1000</f>
        <v>0.0351650023389795</v>
      </c>
      <c r="H54" s="17" t="n">
        <f aca="false">E54*Допущения!$B$27</f>
        <v>0.000670715427051566</v>
      </c>
      <c r="I54" s="17" t="n">
        <f aca="false">F54*Допущения!$B$22/30*Допущения!$B$28</f>
        <v>0.00430096458946052</v>
      </c>
      <c r="J54" s="17" t="n">
        <f aca="false">G54*Допущения!$B$17+(H54+I54)*Допущения!$B$18</f>
        <v>0.0200683411777458</v>
      </c>
      <c r="K54" s="19" t="n">
        <f aca="false">K53+J54</f>
        <v>2.8649575265805</v>
      </c>
      <c r="L54" s="19" t="n">
        <f aca="false">L53+G54*Допущения!$B$17</f>
        <v>2.24876870495175</v>
      </c>
      <c r="M54" s="19" t="n">
        <f aca="false">M53+H54*Допущения!$B$18</f>
        <v>0.464470158498168</v>
      </c>
      <c r="N54" s="19" t="n">
        <f aca="false">N53+I54*Допущения!$B$18</f>
        <v>0.151718663130588</v>
      </c>
      <c r="O54" s="19" t="n">
        <f aca="false">O53+G54+H54+I54</f>
        <v>5.729915053161</v>
      </c>
      <c r="P54" s="17" t="n">
        <f aca="false">P53+F54</f>
        <v>0.0626448736082821</v>
      </c>
      <c r="Q54" s="6" t="n">
        <f aca="false">MIN(MATCH(A54,$S$3:$X$3,1),5)</f>
        <v>3</v>
      </c>
    </row>
    <row r="55" customFormat="false" ht="15" hidden="false" customHeight="false" outlineLevel="0" collapsed="false">
      <c r="A55" s="6" t="n">
        <v>48</v>
      </c>
      <c r="B55" s="14" t="n">
        <f aca="false">INDEX($S$4:$X$4,Q55)*(INDEX($S$4:$X$4,Q55+1)/INDEX($S$4:$X$4,Q55))^((LN(A55)-LN(INDEX($S$3:$X$3,Q55)))/(LN(INDEX($S$3:$X$3,Q55+1))-LN(INDEX($S$3:$X$3,Q55))))</f>
        <v>0.0351911490316668</v>
      </c>
      <c r="C55" s="33" t="n">
        <f aca="false">C54+B55</f>
        <v>4.60465331459343</v>
      </c>
      <c r="D55" s="36" t="n">
        <f aca="false">Допущения!$B$19*(1-EXP(-Допущения!$B$26*(A55+1)))</f>
        <v>0.00994164911785585</v>
      </c>
      <c r="E55" s="37" t="n">
        <f aca="false">D55-D54</f>
        <v>6.45856174530737E-006</v>
      </c>
      <c r="F55" s="37" t="n">
        <f aca="false">D55*MIN(1,B55*Допущения!$B$21)</f>
        <v>0.000874645139317511</v>
      </c>
      <c r="G55" s="17" t="n">
        <f aca="false">((B55-F55*Допущения!$B$23)*Допущения!$B$13*Допущения!$B$15+B55*Допущения!$B$14*Допущения!$B$16)/1000</f>
        <v>0.0346160509586687</v>
      </c>
      <c r="H55" s="17" t="n">
        <f aca="false">E55*Допущения!$B$27</f>
        <v>0.000603875523186239</v>
      </c>
      <c r="I55" s="17" t="n">
        <f aca="false">F55*Допущения!$B$22/30*Допущения!$B$28</f>
        <v>0.00423657942326427</v>
      </c>
      <c r="J55" s="17" t="n">
        <f aca="false">G55*Допущения!$B$17+(H55+I55)*Допущения!$B$18</f>
        <v>0.0197282529525596</v>
      </c>
      <c r="K55" s="19" t="n">
        <f aca="false">K54+J55</f>
        <v>2.88468577953306</v>
      </c>
      <c r="L55" s="19" t="n">
        <f aca="false">L54+G55*Допущения!$B$17</f>
        <v>2.26607673043108</v>
      </c>
      <c r="M55" s="19" t="n">
        <f aca="false">M54+H55*Допущения!$B$18</f>
        <v>0.464772096259761</v>
      </c>
      <c r="N55" s="19" t="n">
        <f aca="false">N54+I55*Допущения!$B$18</f>
        <v>0.15383695284222</v>
      </c>
      <c r="O55" s="19" t="n">
        <f aca="false">O54+G55+H55+I55</f>
        <v>5.76937155906612</v>
      </c>
      <c r="P55" s="17" t="n">
        <f aca="false">P54+F55</f>
        <v>0.0635195187475996</v>
      </c>
      <c r="Q55" s="6" t="n">
        <f aca="false">MIN(MATCH(A55,$S$3:$X$3,1),5)</f>
        <v>3</v>
      </c>
    </row>
    <row r="56" customFormat="false" ht="15" hidden="false" customHeight="false" outlineLevel="0" collapsed="false">
      <c r="A56" s="6" t="n">
        <v>49</v>
      </c>
      <c r="B56" s="14" t="n">
        <f aca="false">INDEX($S$4:$X$4,Q56)*(INDEX($S$4:$X$4,Q56+1)/INDEX($S$4:$X$4,Q56))^((LN(A56)-LN(INDEX($S$3:$X$3,Q56)))/(LN(INDEX($S$3:$X$3,Q56+1))-LN(INDEX($S$3:$X$3,Q56))))</f>
        <v>0.0346530603191721</v>
      </c>
      <c r="C56" s="33" t="n">
        <f aca="false">C55+B56</f>
        <v>4.6393063749126</v>
      </c>
      <c r="D56" s="36" t="n">
        <f aca="false">Допущения!$B$19*(1-EXP(-Допущения!$B$26*(A56+1)))</f>
        <v>0.00994746405396091</v>
      </c>
      <c r="E56" s="37" t="n">
        <f aca="false">D56-D55</f>
        <v>5.81493610505267E-006</v>
      </c>
      <c r="F56" s="37" t="n">
        <f aca="false">D56*MIN(1,B56*Допущения!$B$21)</f>
        <v>0.000861775179711759</v>
      </c>
      <c r="G56" s="17" t="n">
        <f aca="false">((B56-F56*Допущения!$B$23)*Допущения!$B$13*Допущения!$B$15+B56*Допущения!$B$14*Допущения!$B$16)/1000</f>
        <v>0.0340867285546801</v>
      </c>
      <c r="H56" s="17" t="n">
        <f aca="false">E56*Допущения!$B$27</f>
        <v>0.000543696525822424</v>
      </c>
      <c r="I56" s="17" t="n">
        <f aca="false">F56*Допущения!$B$22/30*Допущения!$B$28</f>
        <v>0.00417424030584059</v>
      </c>
      <c r="J56" s="17" t="n">
        <f aca="false">G56*Допущения!$B$17+(H56+I56)*Допущения!$B$18</f>
        <v>0.0194023326931716</v>
      </c>
      <c r="K56" s="19" t="n">
        <f aca="false">K55+J56</f>
        <v>2.90408811222623</v>
      </c>
      <c r="L56" s="19" t="n">
        <f aca="false">L55+G56*Допущения!$B$17</f>
        <v>2.28312009470842</v>
      </c>
      <c r="M56" s="19" t="n">
        <f aca="false">M55+H56*Допущения!$B$18</f>
        <v>0.465043944522672</v>
      </c>
      <c r="N56" s="19" t="n">
        <f aca="false">N55+I56*Допущения!$B$18</f>
        <v>0.15592407299514</v>
      </c>
      <c r="O56" s="19" t="n">
        <f aca="false">O55+G56+H56+I56</f>
        <v>5.80817622445247</v>
      </c>
      <c r="P56" s="17" t="n">
        <f aca="false">P55+F56</f>
        <v>0.0643812939273113</v>
      </c>
      <c r="Q56" s="6" t="n">
        <f aca="false">MIN(MATCH(A56,$S$3:$X$3,1),5)</f>
        <v>3</v>
      </c>
    </row>
    <row r="57" customFormat="false" ht="15" hidden="false" customHeight="false" outlineLevel="0" collapsed="false">
      <c r="A57" s="6" t="n">
        <v>50</v>
      </c>
      <c r="B57" s="14" t="n">
        <f aca="false">INDEX($S$4:$X$4,Q57)*(INDEX($S$4:$X$4,Q57+1)/INDEX($S$4:$X$4,Q57))^((LN(A57)-LN(INDEX($S$3:$X$3,Q57)))/(LN(INDEX($S$3:$X$3,Q57+1))-LN(INDEX($S$3:$X$3,Q57))))</f>
        <v>0.0341338236196574</v>
      </c>
      <c r="C57" s="33" t="n">
        <f aca="false">C56+B57</f>
        <v>4.67344019853226</v>
      </c>
      <c r="D57" s="36" t="n">
        <f aca="false">Допущения!$B$19*(1-EXP(-Допущения!$B$26*(A57+1)))</f>
        <v>0.00995269950470664</v>
      </c>
      <c r="E57" s="37" t="n">
        <f aca="false">D57-D56</f>
        <v>5.23545074573341E-006</v>
      </c>
      <c r="F57" s="37" t="n">
        <f aca="false">D57*MIN(1,B57*Допущения!$B$21)</f>
        <v>0.000849309223582771</v>
      </c>
      <c r="G57" s="17" t="n">
        <f aca="false">((B57-F57*Допущения!$B$23)*Допущения!$B$13*Допущения!$B$15+B57*Допущения!$B$14*Допущения!$B$16)/1000</f>
        <v>0.0335759535672891</v>
      </c>
      <c r="H57" s="17" t="n">
        <f aca="false">E57*Допущения!$B$27</f>
        <v>0.000489514644726074</v>
      </c>
      <c r="I57" s="17" t="n">
        <f aca="false">F57*Допущения!$B$22/30*Допущения!$B$28</f>
        <v>0.00411385808812359</v>
      </c>
      <c r="J57" s="17" t="n">
        <f aca="false">G57*Допущения!$B$17+(H57+I57)*Допущения!$B$18</f>
        <v>0.0190896631500694</v>
      </c>
      <c r="K57" s="19" t="n">
        <f aca="false">K56+J57</f>
        <v>2.9231777753763</v>
      </c>
      <c r="L57" s="19" t="n">
        <f aca="false">L56+G57*Допущения!$B$17</f>
        <v>2.29990807149206</v>
      </c>
      <c r="M57" s="19" t="n">
        <f aca="false">M56+H57*Допущения!$B$18</f>
        <v>0.465288701845035</v>
      </c>
      <c r="N57" s="19" t="n">
        <f aca="false">N56+I57*Допущения!$B$18</f>
        <v>0.157981002039202</v>
      </c>
      <c r="O57" s="19" t="n">
        <f aca="false">O56+G57+H57+I57</f>
        <v>5.84635555075261</v>
      </c>
      <c r="P57" s="17" t="n">
        <f aca="false">P56+F57</f>
        <v>0.0652306031508941</v>
      </c>
      <c r="Q57" s="6" t="n">
        <f aca="false">MIN(MATCH(A57,$S$3:$X$3,1),5)</f>
        <v>3</v>
      </c>
    </row>
    <row r="58" customFormat="false" ht="15" hidden="false" customHeight="false" outlineLevel="0" collapsed="false">
      <c r="A58" s="6" t="n">
        <v>51</v>
      </c>
      <c r="B58" s="14" t="n">
        <f aca="false">INDEX($S$4:$X$4,Q58)*(INDEX($S$4:$X$4,Q58+1)/INDEX($S$4:$X$4,Q58))^((LN(A58)-LN(INDEX($S$3:$X$3,Q58)))/(LN(INDEX($S$3:$X$3,Q58+1))-LN(INDEX($S$3:$X$3,Q58))))</f>
        <v>0.0336324208510391</v>
      </c>
      <c r="C58" s="33" t="n">
        <f aca="false">C57+B58</f>
        <v>4.7070726193833</v>
      </c>
      <c r="D58" s="36" t="n">
        <f aca="false">Допущения!$B$19*(1-EXP(-Допущения!$B$26*(A58+1)))</f>
        <v>0.00995741321849744</v>
      </c>
      <c r="E58" s="37" t="n">
        <f aca="false">D58-D57</f>
        <v>4.71371379079898E-006</v>
      </c>
      <c r="F58" s="37" t="n">
        <f aca="false">D58*MIN(1,B58*Допущения!$B$21)</f>
        <v>0.000837229779880515</v>
      </c>
      <c r="G58" s="17" t="n">
        <f aca="false">((B58-F58*Допущения!$B$23)*Допущения!$B$13*Допущения!$B$15+B58*Допущения!$B$14*Допущения!$B$16)/1000</f>
        <v>0.03308272413016</v>
      </c>
      <c r="H58" s="17" t="n">
        <f aca="false">E58*Допущения!$B$27</f>
        <v>0.000440732239439704</v>
      </c>
      <c r="I58" s="17" t="n">
        <f aca="false">F58*Допущения!$B$22/30*Допущения!$B$28</f>
        <v>0.00405534804749912</v>
      </c>
      <c r="J58" s="17" t="n">
        <f aca="false">G58*Допущения!$B$17+(H58+I58)*Допущения!$B$18</f>
        <v>0.0187894022085494</v>
      </c>
      <c r="K58" s="19" t="n">
        <f aca="false">K57+J58</f>
        <v>2.94196717758485</v>
      </c>
      <c r="L58" s="19" t="n">
        <f aca="false">L57+G58*Допущения!$B$17</f>
        <v>2.31644943355714</v>
      </c>
      <c r="M58" s="19" t="n">
        <f aca="false">M57+H58*Допущения!$B$18</f>
        <v>0.465509067964755</v>
      </c>
      <c r="N58" s="19" t="n">
        <f aca="false">N57+I58*Допущения!$B$18</f>
        <v>0.160008676062952</v>
      </c>
      <c r="O58" s="19" t="n">
        <f aca="false">O57+G58+H58+I58</f>
        <v>5.8839343551697</v>
      </c>
      <c r="P58" s="17" t="n">
        <f aca="false">P57+F58</f>
        <v>0.0660678329307746</v>
      </c>
      <c r="Q58" s="6" t="n">
        <f aca="false">MIN(MATCH(A58,$S$3:$X$3,1),5)</f>
        <v>3</v>
      </c>
    </row>
    <row r="59" customFormat="false" ht="15" hidden="false" customHeight="false" outlineLevel="0" collapsed="false">
      <c r="A59" s="6" t="n">
        <v>52</v>
      </c>
      <c r="B59" s="14" t="n">
        <f aca="false">INDEX($S$4:$X$4,Q59)*(INDEX($S$4:$X$4,Q59+1)/INDEX($S$4:$X$4,Q59))^((LN(A59)-LN(INDEX($S$3:$X$3,Q59)))/(LN(INDEX($S$3:$X$3,Q59+1))-LN(INDEX($S$3:$X$3,Q59))))</f>
        <v>0.0331479074790761</v>
      </c>
      <c r="C59" s="33" t="n">
        <f aca="false">C58+B59</f>
        <v>4.74022052686238</v>
      </c>
      <c r="D59" s="36" t="n">
        <f aca="false">Допущения!$B$19*(1-EXP(-Допущения!$B$26*(A59+1)))</f>
        <v>0.00996165718884129</v>
      </c>
      <c r="E59" s="37" t="n">
        <f aca="false">D59-D58</f>
        <v>4.24397034384967E-006</v>
      </c>
      <c r="F59" s="37" t="n">
        <f aca="false">D59*MIN(1,B59*Допущения!$B$21)</f>
        <v>0.00082552022708496</v>
      </c>
      <c r="G59" s="17" t="n">
        <f aca="false">((B59-F59*Допущения!$B$23)*Допущения!$B$13*Допущения!$B$15+B59*Допущения!$B$14*Допущения!$B$16)/1000</f>
        <v>0.0326061107746273</v>
      </c>
      <c r="H59" s="17" t="n">
        <f aca="false">E59*Допущения!$B$27</f>
        <v>0.000396811227149944</v>
      </c>
      <c r="I59" s="17" t="n">
        <f aca="false">F59*Допущения!$B$22/30*Допущения!$B$28</f>
        <v>0.00399862967315592</v>
      </c>
      <c r="J59" s="17" t="n">
        <f aca="false">G59*Допущения!$B$17+(H59+I59)*Допущения!$B$18</f>
        <v>0.0185007758374666</v>
      </c>
      <c r="K59" s="19" t="n">
        <f aca="false">K58+J59</f>
        <v>2.96046795342232</v>
      </c>
      <c r="L59" s="19" t="n">
        <f aca="false">L58+G59*Допущения!$B$17</f>
        <v>2.33275248894446</v>
      </c>
      <c r="M59" s="19" t="n">
        <f aca="false">M58+H59*Допущения!$B$18</f>
        <v>0.46570747357833</v>
      </c>
      <c r="N59" s="19" t="n">
        <f aca="false">N58+I59*Допущения!$B$18</f>
        <v>0.162007990899529</v>
      </c>
      <c r="O59" s="19" t="n">
        <f aca="false">O58+G59+H59+I59</f>
        <v>5.92093590684464</v>
      </c>
      <c r="P59" s="17" t="n">
        <f aca="false">P58+F59</f>
        <v>0.0668933531578596</v>
      </c>
      <c r="Q59" s="6" t="n">
        <f aca="false">MIN(MATCH(A59,$S$3:$X$3,1),5)</f>
        <v>3</v>
      </c>
    </row>
    <row r="60" customFormat="false" ht="15" hidden="false" customHeight="false" outlineLevel="0" collapsed="false">
      <c r="A60" s="6" t="n">
        <v>53</v>
      </c>
      <c r="B60" s="14" t="n">
        <f aca="false">INDEX($S$4:$X$4,Q60)*(INDEX($S$4:$X$4,Q60+1)/INDEX($S$4:$X$4,Q60))^((LN(A60)-LN(INDEX($S$3:$X$3,Q60)))/(LN(INDEX($S$3:$X$3,Q60+1))-LN(INDEX($S$3:$X$3,Q60))))</f>
        <v>0.0326794059135372</v>
      </c>
      <c r="C60" s="33" t="n">
        <f aca="false">C59+B60</f>
        <v>4.77289993277592</v>
      </c>
      <c r="D60" s="36" t="n">
        <f aca="false">Допущения!$B$19*(1-EXP(-Допущения!$B$26*(A60+1)))</f>
        <v>0.00996547822785189</v>
      </c>
      <c r="E60" s="37" t="n">
        <f aca="false">D60-D59</f>
        <v>3.82103901060485E-006</v>
      </c>
      <c r="F60" s="37" t="n">
        <f aca="false">D60*MIN(1,B60*Допущения!$B$21)</f>
        <v>0.000814164770326224</v>
      </c>
      <c r="G60" s="17" t="n">
        <f aca="false">((B60-F60*Допущения!$B$23)*Допущения!$B$13*Допущения!$B$15+B60*Допущения!$B$14*Допущения!$B$16)/1000</f>
        <v>0.0321452499272365</v>
      </c>
      <c r="H60" s="17" t="n">
        <f aca="false">E60*Допущения!$B$27</f>
        <v>0.000357267147491553</v>
      </c>
      <c r="I60" s="17" t="n">
        <f aca="false">F60*Допущения!$B$22/30*Допущения!$B$28</f>
        <v>0.00394362645838545</v>
      </c>
      <c r="J60" s="17" t="n">
        <f aca="false">G60*Допущения!$B$17+(H60+I60)*Допущения!$B$18</f>
        <v>0.0182230717665568</v>
      </c>
      <c r="K60" s="19" t="n">
        <f aca="false">K59+J60</f>
        <v>2.97869102518888</v>
      </c>
      <c r="L60" s="19" t="n">
        <f aca="false">L59+G60*Допущения!$B$17</f>
        <v>2.34882511390808</v>
      </c>
      <c r="M60" s="19" t="n">
        <f aca="false">M59+H60*Допущения!$B$18</f>
        <v>0.465886107152076</v>
      </c>
      <c r="N60" s="19" t="n">
        <f aca="false">N59+I60*Допущения!$B$18</f>
        <v>0.163979804128722</v>
      </c>
      <c r="O60" s="19" t="n">
        <f aca="false">O59+G60+H60+I60</f>
        <v>5.95738205037775</v>
      </c>
      <c r="P60" s="17" t="n">
        <f aca="false">P59+F60</f>
        <v>0.0677075179281858</v>
      </c>
      <c r="Q60" s="6" t="n">
        <f aca="false">MIN(MATCH(A60,$S$3:$X$3,1),5)</f>
        <v>3</v>
      </c>
    </row>
    <row r="61" customFormat="false" ht="15" hidden="false" customHeight="false" outlineLevel="0" collapsed="false">
      <c r="A61" s="6" t="n">
        <v>54</v>
      </c>
      <c r="B61" s="14" t="n">
        <f aca="false">INDEX($S$4:$X$4,Q61)*(INDEX($S$4:$X$4,Q61+1)/INDEX($S$4:$X$4,Q61))^((LN(A61)-LN(INDEX($S$3:$X$3,Q61)))/(LN(INDEX($S$3:$X$3,Q61+1))-LN(INDEX($S$3:$X$3,Q61))))</f>
        <v>0.0322260996089087</v>
      </c>
      <c r="C61" s="33" t="n">
        <f aca="false">C60+B61</f>
        <v>4.80512603238482</v>
      </c>
      <c r="D61" s="36" t="n">
        <f aca="false">Допущения!$B$19*(1-EXP(-Допущения!$B$26*(A61+1)))</f>
        <v>0.00996891848259866</v>
      </c>
      <c r="E61" s="37" t="n">
        <f aca="false">D61-D60</f>
        <v>3.44025474676747E-006</v>
      </c>
      <c r="F61" s="37" t="n">
        <f aca="false">D61*MIN(1,B61*Допущения!$B$21)</f>
        <v>0.000803148400033288</v>
      </c>
      <c r="G61" s="17" t="n">
        <f aca="false">((B61-F61*Допущения!$B$23)*Допущения!$B$13*Допущения!$B$15+B61*Допущения!$B$14*Допущения!$B$16)/1000</f>
        <v>0.0316993381011732</v>
      </c>
      <c r="H61" s="17" t="n">
        <f aca="false">E61*Допущения!$B$27</f>
        <v>0.000321663818822759</v>
      </c>
      <c r="I61" s="17" t="n">
        <f aca="false">F61*Допущения!$B$22/30*Допущения!$B$28</f>
        <v>0.00389026570028585</v>
      </c>
      <c r="J61" s="17" t="n">
        <f aca="false">G61*Допущения!$B$17+(H61+I61)*Допущения!$B$18</f>
        <v>0.0179556338101409</v>
      </c>
      <c r="K61" s="19" t="n">
        <f aca="false">K60+J61</f>
        <v>2.99664665899902</v>
      </c>
      <c r="L61" s="19" t="n">
        <f aca="false">L60+G61*Допущения!$B$17</f>
        <v>2.36467478295866</v>
      </c>
      <c r="M61" s="19" t="n">
        <f aca="false">M60+H61*Допущения!$B$18</f>
        <v>0.466046939061487</v>
      </c>
      <c r="N61" s="19" t="n">
        <f aca="false">N60+I61*Допущения!$B$18</f>
        <v>0.165924936978865</v>
      </c>
      <c r="O61" s="19" t="n">
        <f aca="false">O60+G61+H61+I61</f>
        <v>5.99329331799803</v>
      </c>
      <c r="P61" s="17" t="n">
        <f aca="false">P60+F61</f>
        <v>0.0685106663282191</v>
      </c>
      <c r="Q61" s="6" t="n">
        <f aca="false">MIN(MATCH(A61,$S$3:$X$3,1),5)</f>
        <v>3</v>
      </c>
    </row>
    <row r="62" customFormat="false" ht="15" hidden="false" customHeight="false" outlineLevel="0" collapsed="false">
      <c r="A62" s="6" t="n">
        <v>55</v>
      </c>
      <c r="B62" s="14" t="n">
        <f aca="false">INDEX($S$4:$X$4,Q62)*(INDEX($S$4:$X$4,Q62+1)/INDEX($S$4:$X$4,Q62))^((LN(A62)-LN(INDEX($S$3:$X$3,Q62)))/(LN(INDEX($S$3:$X$3,Q62+1))-LN(INDEX($S$3:$X$3,Q62))))</f>
        <v>0.0317872277830042</v>
      </c>
      <c r="C62" s="33" t="n">
        <f aca="false">C61+B62</f>
        <v>4.83691326016783</v>
      </c>
      <c r="D62" s="36" t="n">
        <f aca="false">Допущения!$B$19*(1-EXP(-Допущения!$B$26*(A62+1)))</f>
        <v>0.0099720159</v>
      </c>
      <c r="E62" s="37" t="n">
        <f aca="false">D62-D61</f>
        <v>3.0974174013397E-006</v>
      </c>
      <c r="F62" s="37" t="n">
        <f aca="false">D62*MIN(1,B62*Допущения!$B$21)</f>
        <v>0.0007924568521726</v>
      </c>
      <c r="G62" s="17" t="n">
        <f aca="false">((B62-F62*Допущения!$B$23)*Допущения!$B$13*Допущения!$B$15+B62*Допущения!$B$14*Допущения!$B$16)/1000</f>
        <v>0.0312676266962419</v>
      </c>
      <c r="H62" s="17" t="n">
        <f aca="false">E62*Допущения!$B$27</f>
        <v>0.000289608527025262</v>
      </c>
      <c r="I62" s="17" t="n">
        <f aca="false">F62*Допущения!$B$22/30*Допущения!$B$28</f>
        <v>0.00383847830716688</v>
      </c>
      <c r="J62" s="17" t="n">
        <f aca="false">G62*Допущения!$B$17+(H62+I62)*Допущения!$B$18</f>
        <v>0.017697856765217</v>
      </c>
      <c r="K62" s="19" t="n">
        <f aca="false">K61+J62</f>
        <v>3.01434451576423</v>
      </c>
      <c r="L62" s="19" t="n">
        <f aca="false">L61+G62*Допущения!$B$17</f>
        <v>2.38030859630678</v>
      </c>
      <c r="M62" s="19" t="n">
        <f aca="false">M61+H62*Допущения!$B$18</f>
        <v>0.466191743325</v>
      </c>
      <c r="N62" s="19" t="n">
        <f aca="false">N61+I62*Допущения!$B$18</f>
        <v>0.167844176132449</v>
      </c>
      <c r="O62" s="19" t="n">
        <f aca="false">O61+G62+H62+I62</f>
        <v>6.02868903152847</v>
      </c>
      <c r="P62" s="17" t="n">
        <f aca="false">P61+F62</f>
        <v>0.0693031231803917</v>
      </c>
      <c r="Q62" s="6" t="n">
        <f aca="false">MIN(MATCH(A62,$S$3:$X$3,1),5)</f>
        <v>3</v>
      </c>
    </row>
    <row r="63" customFormat="false" ht="15" hidden="false" customHeight="false" outlineLevel="0" collapsed="false">
      <c r="A63" s="6" t="n">
        <v>56</v>
      </c>
      <c r="B63" s="14" t="n">
        <f aca="false">INDEX($S$4:$X$4,Q63)*(INDEX($S$4:$X$4,Q63+1)/INDEX($S$4:$X$4,Q63))^((LN(A63)-LN(INDEX($S$3:$X$3,Q63)))/(LN(INDEX($S$3:$X$3,Q63+1))-LN(INDEX($S$3:$X$3,Q63))))</f>
        <v>0.0313620806788578</v>
      </c>
      <c r="C63" s="33" t="n">
        <f aca="false">C62+B63</f>
        <v>4.86827534084669</v>
      </c>
      <c r="D63" s="36" t="n">
        <f aca="false">Допущения!$B$19*(1-EXP(-Допущения!$B$26*(A63+1)))</f>
        <v>0.00997480464538787</v>
      </c>
      <c r="E63" s="37" t="n">
        <f aca="false">D63-D62</f>
        <v>2.78874538786611E-006</v>
      </c>
      <c r="F63" s="37" t="n">
        <f aca="false">D63*MIN(1,B63*Допущения!$B$21)</f>
        <v>0.00078207657011125</v>
      </c>
      <c r="G63" s="17" t="n">
        <f aca="false">((B63-F63*Допущения!$B$23)*Допущения!$B$13*Допущения!$B$15+B63*Допущения!$B$14*Допущения!$B$16)/1000</f>
        <v>0.0308494173338889</v>
      </c>
      <c r="H63" s="17" t="n">
        <f aca="false">E63*Допущения!$B$27</f>
        <v>0.000260747693765481</v>
      </c>
      <c r="I63" s="17" t="n">
        <f aca="false">F63*Допущения!$B$22/30*Допущения!$B$28</f>
        <v>0.00378819861382392</v>
      </c>
      <c r="J63" s="17" t="n">
        <f aca="false">G63*Допущения!$B$17+(H63+I63)*Допущения!$B$18</f>
        <v>0.0174491818207392</v>
      </c>
      <c r="K63" s="19" t="n">
        <f aca="false">K62+J63</f>
        <v>3.03179369758497</v>
      </c>
      <c r="L63" s="19" t="n">
        <f aca="false">L62+G63*Допущения!$B$17</f>
        <v>2.39573330497373</v>
      </c>
      <c r="M63" s="19" t="n">
        <f aca="false">M62+H63*Допущения!$B$18</f>
        <v>0.466322117171883</v>
      </c>
      <c r="N63" s="19" t="n">
        <f aca="false">N62+I63*Допущения!$B$18</f>
        <v>0.169738275439361</v>
      </c>
      <c r="O63" s="19" t="n">
        <f aca="false">O62+G63+H63+I63</f>
        <v>6.06358739516995</v>
      </c>
      <c r="P63" s="17" t="n">
        <f aca="false">P62+F63</f>
        <v>0.070085199750503</v>
      </c>
      <c r="Q63" s="6" t="n">
        <f aca="false">MIN(MATCH(A63,$S$3:$X$3,1),5)</f>
        <v>3</v>
      </c>
    </row>
    <row r="64" customFormat="false" ht="15" hidden="false" customHeight="false" outlineLevel="0" collapsed="false">
      <c r="A64" s="6" t="n">
        <v>57</v>
      </c>
      <c r="B64" s="14" t="n">
        <f aca="false">INDEX($S$4:$X$4,Q64)*(INDEX($S$4:$X$4,Q64+1)/INDEX($S$4:$X$4,Q64))^((LN(A64)-LN(INDEX($S$3:$X$3,Q64)))/(LN(INDEX($S$3:$X$3,Q64+1))-LN(INDEX($S$3:$X$3,Q64))))</f>
        <v>0.0309499953054409</v>
      </c>
      <c r="C64" s="33" t="n">
        <f aca="false">C63+B64</f>
        <v>4.89922533615213</v>
      </c>
      <c r="D64" s="36" t="n">
        <f aca="false">Допущения!$B$19*(1-EXP(-Допущения!$B$26*(A64+1)))</f>
        <v>0.00997731547936038</v>
      </c>
      <c r="E64" s="37" t="n">
        <f aca="false">D64-D63</f>
        <v>2.51083397251328E-006</v>
      </c>
      <c r="F64" s="37" t="n">
        <f aca="false">D64*MIN(1,B64*Допущения!$B$21)</f>
        <v>0.000771994668117767</v>
      </c>
      <c r="G64" s="17" t="n">
        <f aca="false">((B64-F64*Допущения!$B$23)*Допущения!$B$13*Допущения!$B$15+B64*Допущения!$B$14*Допущения!$B$16)/1000</f>
        <v>0.0304440576637809</v>
      </c>
      <c r="H64" s="17" t="n">
        <f aca="false">E64*Допущения!$B$27</f>
        <v>0.000234762976429992</v>
      </c>
      <c r="I64" s="17" t="n">
        <f aca="false">F64*Допущения!$B$22/30*Допущения!$B$28</f>
        <v>0.00373936420474427</v>
      </c>
      <c r="J64" s="17" t="n">
        <f aca="false">G64*Допущения!$B$17+(H64+I64)*Допущения!$B$18</f>
        <v>0.0172090924224776</v>
      </c>
      <c r="K64" s="19" t="n">
        <f aca="false">K63+J64</f>
        <v>3.04900279000745</v>
      </c>
      <c r="L64" s="19" t="n">
        <f aca="false">L63+G64*Допущения!$B$17</f>
        <v>2.41095533380562</v>
      </c>
      <c r="M64" s="19" t="n">
        <f aca="false">M63+H64*Допущения!$B$18</f>
        <v>0.466439498660098</v>
      </c>
      <c r="N64" s="19" t="n">
        <f aca="false">N63+I64*Допущения!$B$18</f>
        <v>0.171607957541733</v>
      </c>
      <c r="O64" s="19" t="n">
        <f aca="false">O63+G64+H64+I64</f>
        <v>6.0980055800149</v>
      </c>
      <c r="P64" s="17" t="n">
        <f aca="false">P63+F64</f>
        <v>0.0708571944186207</v>
      </c>
      <c r="Q64" s="6" t="n">
        <f aca="false">MIN(MATCH(A64,$S$3:$X$3,1),5)</f>
        <v>3</v>
      </c>
    </row>
    <row r="65" customFormat="false" ht="15" hidden="false" customHeight="false" outlineLevel="0" collapsed="false">
      <c r="A65" s="6" t="n">
        <v>58</v>
      </c>
      <c r="B65" s="14" t="n">
        <f aca="false">INDEX($S$4:$X$4,Q65)*(INDEX($S$4:$X$4,Q65+1)/INDEX($S$4:$X$4,Q65))^((LN(A65)-LN(INDEX($S$3:$X$3,Q65)))/(LN(INDEX($S$3:$X$3,Q65+1))-LN(INDEX($S$3:$X$3,Q65))))</f>
        <v>0.0305503516013779</v>
      </c>
      <c r="C65" s="33" t="n">
        <f aca="false">C64+B65</f>
        <v>4.92977568775351</v>
      </c>
      <c r="D65" s="36" t="n">
        <f aca="false">Допущения!$B$19*(1-EXP(-Допущения!$B$26*(A65+1)))</f>
        <v>0.00997957609707936</v>
      </c>
      <c r="E65" s="37" t="n">
        <f aca="false">D65-D64</f>
        <v>2.26061771897886E-006</v>
      </c>
      <c r="F65" s="37" t="n">
        <f aca="false">D65*MIN(1,B65*Допущения!$B$21)</f>
        <v>0.000762198896496202</v>
      </c>
      <c r="G65" s="17" t="n">
        <f aca="false">((B65-F65*Допущения!$B$23)*Допущения!$B$13*Допущения!$B$15+B65*Допущения!$B$14*Допущения!$B$16)/1000</f>
        <v>0.0300509375869464</v>
      </c>
      <c r="H65" s="17" t="n">
        <f aca="false">E65*Допущения!$B$27</f>
        <v>0.000211367756724523</v>
      </c>
      <c r="I65" s="17" t="n">
        <f aca="false">F65*Допущения!$B$22/30*Допущения!$B$28</f>
        <v>0.00369191574522467</v>
      </c>
      <c r="J65" s="17" t="n">
        <f aca="false">G65*Допущения!$B$17+(H65+I65)*Допущения!$B$18</f>
        <v>0.0169771105444478</v>
      </c>
      <c r="K65" s="19" t="n">
        <f aca="false">K64+J65</f>
        <v>3.0659799005519</v>
      </c>
      <c r="L65" s="19" t="n">
        <f aca="false">L64+G65*Допущения!$B$17</f>
        <v>2.42598080259909</v>
      </c>
      <c r="M65" s="19" t="n">
        <f aca="false">M64+H65*Допущения!$B$18</f>
        <v>0.46654518253846</v>
      </c>
      <c r="N65" s="19" t="n">
        <f aca="false">N64+I65*Допущения!$B$18</f>
        <v>0.173453915414345</v>
      </c>
      <c r="O65" s="19" t="n">
        <f aca="false">O64+G65+H65+I65</f>
        <v>6.1319598011038</v>
      </c>
      <c r="P65" s="17" t="n">
        <f aca="false">P64+F65</f>
        <v>0.0716193933151169</v>
      </c>
      <c r="Q65" s="6" t="n">
        <f aca="false">MIN(MATCH(A65,$S$3:$X$3,1),5)</f>
        <v>3</v>
      </c>
    </row>
    <row r="66" customFormat="false" ht="15" hidden="false" customHeight="false" outlineLevel="0" collapsed="false">
      <c r="A66" s="6" t="n">
        <v>59</v>
      </c>
      <c r="B66" s="14" t="n">
        <f aca="false">INDEX($S$4:$X$4,Q66)*(INDEX($S$4:$X$4,Q66+1)/INDEX($S$4:$X$4,Q66))^((LN(A66)-LN(INDEX($S$3:$X$3,Q66)))/(LN(INDEX($S$3:$X$3,Q66+1))-LN(INDEX($S$3:$X$3,Q66))))</f>
        <v>0.0301625689731784</v>
      </c>
      <c r="C66" s="33" t="n">
        <f aca="false">C65+B66</f>
        <v>4.95993825672668</v>
      </c>
      <c r="D66" s="36" t="n">
        <f aca="false">Допущения!$B$19*(1-EXP(-Допущения!$B$26*(A66+1)))</f>
        <v>0.00998161143375526</v>
      </c>
      <c r="E66" s="37" t="n">
        <f aca="false">D66-D65</f>
        <v>2.03533667590336E-006</v>
      </c>
      <c r="F66" s="37" t="n">
        <f aca="false">D66*MIN(1,B66*Допущения!$B$21)</f>
        <v>0.000752677608335273</v>
      </c>
      <c r="G66" s="17" t="n">
        <f aca="false">((B66-F66*Допущения!$B$23)*Допущения!$B$13*Допущения!$B$15+B66*Допущения!$B$14*Допущения!$B$16)/1000</f>
        <v>0.0296694858477306</v>
      </c>
      <c r="H66" s="17" t="n">
        <f aca="false">E66*Допущения!$B$27</f>
        <v>0.000190303979196964</v>
      </c>
      <c r="I66" s="17" t="n">
        <f aca="false">F66*Допущения!$B$22/30*Допущения!$B$28</f>
        <v>0.00364579682031183</v>
      </c>
      <c r="J66" s="17" t="n">
        <f aca="false">G66*Допущения!$B$17+(H66+I66)*Допущения!$B$18</f>
        <v>0.0167527933236197</v>
      </c>
      <c r="K66" s="19" t="n">
        <f aca="false">K65+J66</f>
        <v>3.08273269387552</v>
      </c>
      <c r="L66" s="19" t="n">
        <f aca="false">L65+G66*Допущения!$B$17</f>
        <v>2.44081554552296</v>
      </c>
      <c r="M66" s="19" t="n">
        <f aca="false">M65+H66*Допущения!$B$18</f>
        <v>0.466640334528059</v>
      </c>
      <c r="N66" s="19" t="n">
        <f aca="false">N65+I66*Допущения!$B$18</f>
        <v>0.175276813824501</v>
      </c>
      <c r="O66" s="19" t="n">
        <f aca="false">O65+G66+H66+I66</f>
        <v>6.16546538775104</v>
      </c>
      <c r="P66" s="17" t="n">
        <f aca="false">P65+F66</f>
        <v>0.0723720709234522</v>
      </c>
      <c r="Q66" s="6" t="n">
        <f aca="false">MIN(MATCH(A66,$S$3:$X$3,1),5)</f>
        <v>3</v>
      </c>
    </row>
    <row r="67" customFormat="false" ht="15" hidden="false" customHeight="false" outlineLevel="0" collapsed="false">
      <c r="A67" s="6" t="n">
        <v>60</v>
      </c>
      <c r="B67" s="14" t="n">
        <f aca="false">INDEX($S$4:$X$4,Q67)*(INDEX($S$4:$X$4,Q67+1)/INDEX($S$4:$X$4,Q67))^((LN(A67)-LN(INDEX($S$3:$X$3,Q67)))/(LN(INDEX($S$3:$X$3,Q67+1))-LN(INDEX($S$3:$X$3,Q67))))</f>
        <v>0.0297861031657796</v>
      </c>
      <c r="C67" s="33" t="n">
        <f aca="false">C66+B67</f>
        <v>4.98972435989246</v>
      </c>
      <c r="D67" s="36" t="n">
        <f aca="false">Допущения!$B$19*(1-EXP(-Допущения!$B$26*(A67+1)))</f>
        <v>0.00998344393968915</v>
      </c>
      <c r="E67" s="37" t="n">
        <f aca="false">D67-D66</f>
        <v>1.83250593388702E-006</v>
      </c>
      <c r="F67" s="37" t="n">
        <f aca="false">D67*MIN(1,B67*Допущения!$B$21)</f>
        <v>0.000743419727843395</v>
      </c>
      <c r="G67" s="17" t="n">
        <f aca="false">((B67-F67*Допущения!$B$23)*Допущения!$B$13*Допущения!$B$15+B67*Допущения!$B$14*Допущения!$B$16)/1000</f>
        <v>0.0292991669529894</v>
      </c>
      <c r="H67" s="17" t="n">
        <f aca="false">E67*Допущения!$B$27</f>
        <v>0.000171339304818437</v>
      </c>
      <c r="I67" s="17" t="n">
        <f aca="false">F67*Допущения!$B$22/30*Допущения!$B$28</f>
        <v>0.00360095378142462</v>
      </c>
      <c r="J67" s="17" t="n">
        <f aca="false">G67*Допущения!$B$17+(H67+I67)*Допущения!$B$18</f>
        <v>0.0165357300196162</v>
      </c>
      <c r="K67" s="19" t="n">
        <f aca="false">K66+J67</f>
        <v>3.09926842389513</v>
      </c>
      <c r="L67" s="19" t="n">
        <f aca="false">L66+G67*Допущения!$B$17</f>
        <v>2.45546512899945</v>
      </c>
      <c r="M67" s="19" t="n">
        <f aca="false">M66+H67*Допущения!$B$18</f>
        <v>0.466726004180468</v>
      </c>
      <c r="N67" s="19" t="n">
        <f aca="false">N66+I67*Допущения!$B$18</f>
        <v>0.177077290715213</v>
      </c>
      <c r="O67" s="19" t="n">
        <f aca="false">O66+G67+H67+I67</f>
        <v>6.19853684779027</v>
      </c>
      <c r="P67" s="17" t="n">
        <f aca="false">P66+F67</f>
        <v>0.0731154906512956</v>
      </c>
      <c r="Q67" s="6" t="n">
        <f aca="false">MIN(MATCH(A67,$S$3:$X$3,1),5)</f>
        <v>3</v>
      </c>
    </row>
    <row r="68" customFormat="false" ht="15" hidden="false" customHeight="false" outlineLevel="0" collapsed="false">
      <c r="A68" s="6" t="n">
        <v>61</v>
      </c>
      <c r="B68" s="14" t="n">
        <f aca="false">INDEX($S$4:$X$4,Q68)*(INDEX($S$4:$X$4,Q68+1)/INDEX($S$4:$X$4,Q68))^((LN(A68)-LN(INDEX($S$3:$X$3,Q68)))/(LN(INDEX($S$3:$X$3,Q68+1))-LN(INDEX($S$3:$X$3,Q68))))</f>
        <v>0.0294204434285632</v>
      </c>
      <c r="C68" s="33" t="n">
        <f aca="false">C67+B68</f>
        <v>5.01914480332103</v>
      </c>
      <c r="D68" s="36" t="n">
        <f aca="false">Допущения!$B$19*(1-EXP(-Допущения!$B$26*(A68+1)))</f>
        <v>0.00998509382790543</v>
      </c>
      <c r="E68" s="37" t="n">
        <f aca="false">D68-D67</f>
        <v>1.64988821627597E-006</v>
      </c>
      <c r="F68" s="37" t="n">
        <f aca="false">D68*MIN(1,B68*Допущения!$B$21)</f>
        <v>0.000734414720231968</v>
      </c>
      <c r="G68" s="17" t="n">
        <f aca="false">((B68-F68*Допущения!$B$23)*Допущения!$B$13*Допущения!$B$15+B68*Допущения!$B$14*Допущения!$B$16)/1000</f>
        <v>0.0289394783822423</v>
      </c>
      <c r="H68" s="17" t="n">
        <f aca="false">E68*Допущения!$B$27</f>
        <v>0.000154264548221803</v>
      </c>
      <c r="I68" s="17" t="n">
        <f aca="false">F68*Допущения!$B$22/30*Допущения!$B$28</f>
        <v>0.00355733560047563</v>
      </c>
      <c r="J68" s="17" t="n">
        <f aca="false">G68*Допущения!$B$17+(H68+I68)*Допущения!$B$18</f>
        <v>0.0163255392654698</v>
      </c>
      <c r="K68" s="19" t="n">
        <f aca="false">K67+J68</f>
        <v>3.1155939631606</v>
      </c>
      <c r="L68" s="19" t="n">
        <f aca="false">L67+G68*Допущения!$B$17</f>
        <v>2.46993486819057</v>
      </c>
      <c r="M68" s="19" t="n">
        <f aca="false">M67+H68*Допущения!$B$18</f>
        <v>0.466803136454579</v>
      </c>
      <c r="N68" s="19" t="n">
        <f aca="false">N67+I68*Допущения!$B$18</f>
        <v>0.178855958515451</v>
      </c>
      <c r="O68" s="19" t="n">
        <f aca="false">O67+G68+H68+I68</f>
        <v>6.23118792632121</v>
      </c>
      <c r="P68" s="17" t="n">
        <f aca="false">P67+F68</f>
        <v>0.0738499053715276</v>
      </c>
      <c r="Q68" s="6" t="n">
        <f aca="false">MIN(MATCH(A68,$S$3:$X$3,1),5)</f>
        <v>3</v>
      </c>
    </row>
    <row r="69" customFormat="false" ht="15" hidden="false" customHeight="false" outlineLevel="0" collapsed="false">
      <c r="A69" s="6" t="n">
        <v>62</v>
      </c>
      <c r="B69" s="14" t="n">
        <f aca="false">INDEX($S$4:$X$4,Q69)*(INDEX($S$4:$X$4,Q69+1)/INDEX($S$4:$X$4,Q69))^((LN(A69)-LN(INDEX($S$3:$X$3,Q69)))/(LN(INDEX($S$3:$X$3,Q69+1))-LN(INDEX($S$3:$X$3,Q69))))</f>
        <v>0.0290651099446245</v>
      </c>
      <c r="C69" s="33" t="n">
        <f aca="false">C68+B69</f>
        <v>5.04820991326565</v>
      </c>
      <c r="D69" s="36" t="n">
        <f aca="false">Допущения!$B$19*(1-EXP(-Допущения!$B$26*(A69+1)))</f>
        <v>0.00998657929710685</v>
      </c>
      <c r="E69" s="37" t="n">
        <f aca="false">D69-D68</f>
        <v>1.48546920142149E-006</v>
      </c>
      <c r="F69" s="37" t="n">
        <f aca="false">D69*MIN(1,B69*Допущения!$B$21)</f>
        <v>0.000725652563102802</v>
      </c>
      <c r="G69" s="17" t="n">
        <f aca="false">((B69-F69*Допущения!$B$23)*Допущения!$B$13*Допущения!$B$15+B69*Допущения!$B$14*Допущения!$B$16)/1000</f>
        <v>0.0285899480570475</v>
      </c>
      <c r="H69" s="17" t="n">
        <f aca="false">E69*Допущения!$B$27</f>
        <v>0.00013889137033291</v>
      </c>
      <c r="I69" s="17" t="n">
        <f aca="false">F69*Допущения!$B$22/30*Допущения!$B$28</f>
        <v>0.00351489373127848</v>
      </c>
      <c r="J69" s="17" t="n">
        <f aca="false">G69*Допущения!$B$17+(H69+I69)*Допущения!$B$18</f>
        <v>0.0161218665793295</v>
      </c>
      <c r="K69" s="19" t="n">
        <f aca="false">K68+J69</f>
        <v>3.13171582973993</v>
      </c>
      <c r="L69" s="19" t="n">
        <f aca="false">L68+G69*Допущения!$B$17</f>
        <v>2.4842298422191</v>
      </c>
      <c r="M69" s="19" t="n">
        <f aca="false">M68+H69*Допущения!$B$18</f>
        <v>0.466872582139745</v>
      </c>
      <c r="N69" s="19" t="n">
        <f aca="false">N68+I69*Допущения!$B$18</f>
        <v>0.18061340538109</v>
      </c>
      <c r="O69" s="19" t="n">
        <f aca="false">O68+G69+H69+I69</f>
        <v>6.26343165947987</v>
      </c>
      <c r="P69" s="17" t="n">
        <f aca="false">P68+F69</f>
        <v>0.0745755579346304</v>
      </c>
      <c r="Q69" s="6" t="n">
        <f aca="false">MIN(MATCH(A69,$S$3:$X$3,1),5)</f>
        <v>3</v>
      </c>
    </row>
    <row r="70" customFormat="false" ht="15" hidden="false" customHeight="false" outlineLevel="0" collapsed="false">
      <c r="A70" s="6" t="n">
        <v>63</v>
      </c>
      <c r="B70" s="14" t="n">
        <f aca="false">INDEX($S$4:$X$4,Q70)*(INDEX($S$4:$X$4,Q70+1)/INDEX($S$4:$X$4,Q70))^((LN(A70)-LN(INDEX($S$3:$X$3,Q70)))/(LN(INDEX($S$3:$X$3,Q70+1))-LN(INDEX($S$3:$X$3,Q70))))</f>
        <v>0.0287196514950405</v>
      </c>
      <c r="C70" s="33" t="n">
        <f aca="false">C69+B70</f>
        <v>5.07692956476069</v>
      </c>
      <c r="D70" s="36" t="n">
        <f aca="false">Допущения!$B$19*(1-EXP(-Допущения!$B$26*(A70+1)))</f>
        <v>0.00998791673241101</v>
      </c>
      <c r="E70" s="37" t="n">
        <f aca="false">D70-D69</f>
        <v>1.33743530416133E-006</v>
      </c>
      <c r="F70" s="37" t="n">
        <f aca="false">D70*MIN(1,B70*Допущения!$B$21)</f>
        <v>0.000717123719290819</v>
      </c>
      <c r="G70" s="17" t="n">
        <f aca="false">((B70-F70*Допущения!$B$23)*Допущения!$B$13*Допущения!$B$15+B70*Допущения!$B$14*Допущения!$B$16)/1000</f>
        <v>0.0282501320417732</v>
      </c>
      <c r="H70" s="17" t="n">
        <f aca="false">E70*Допущения!$B$27</f>
        <v>0.000125050200939085</v>
      </c>
      <c r="I70" s="17" t="n">
        <f aca="false">F70*Допущения!$B$22/30*Допущения!$B$28</f>
        <v>0.00347358197800414</v>
      </c>
      <c r="J70" s="17" t="n">
        <f aca="false">G70*Допущения!$B$17+(H70+I70)*Допущения!$B$18</f>
        <v>0.0159243821103582</v>
      </c>
      <c r="K70" s="19" t="n">
        <f aca="false">K69+J70</f>
        <v>3.14764021185029</v>
      </c>
      <c r="L70" s="19" t="n">
        <f aca="false">L69+G70*Допущения!$B$17</f>
        <v>2.49835490823998</v>
      </c>
      <c r="M70" s="19" t="n">
        <f aca="false">M69+H70*Допущения!$B$18</f>
        <v>0.466935107240215</v>
      </c>
      <c r="N70" s="19" t="n">
        <f aca="false">N69+I70*Допущения!$B$18</f>
        <v>0.182350196370092</v>
      </c>
      <c r="O70" s="19" t="n">
        <f aca="false">O69+G70+H70+I70</f>
        <v>6.29528042370058</v>
      </c>
      <c r="P70" s="17" t="n">
        <f aca="false">P69+F70</f>
        <v>0.0752926816539212</v>
      </c>
      <c r="Q70" s="6" t="n">
        <f aca="false">MIN(MATCH(A70,$S$3:$X$3,1),5)</f>
        <v>3</v>
      </c>
    </row>
    <row r="71" customFormat="false" ht="15" hidden="false" customHeight="false" outlineLevel="0" collapsed="false">
      <c r="A71" s="6" t="n">
        <v>64</v>
      </c>
      <c r="B71" s="14" t="n">
        <f aca="false">INDEX($S$4:$X$4,Q71)*(INDEX($S$4:$X$4,Q71+1)/INDEX($S$4:$X$4,Q71))^((LN(A71)-LN(INDEX($S$3:$X$3,Q71)))/(LN(INDEX($S$3:$X$3,Q71+1))-LN(INDEX($S$3:$X$3,Q71))))</f>
        <v>0.0283836433333137</v>
      </c>
      <c r="C71" s="33" t="n">
        <f aca="false">C70+B71</f>
        <v>5.10531320809401</v>
      </c>
      <c r="D71" s="36" t="n">
        <f aca="false">Допущения!$B$19*(1-EXP(-Допущения!$B$26*(A71+1)))</f>
        <v>0.00998912088608253</v>
      </c>
      <c r="E71" s="37" t="n">
        <f aca="false">D71-D70</f>
        <v>1.2041536715194E-006</v>
      </c>
      <c r="F71" s="37" t="n">
        <f aca="false">D71*MIN(1,B71*Допущения!$B$21)</f>
        <v>0.000708819111109803</v>
      </c>
      <c r="G71" s="17" t="n">
        <f aca="false">((B71-F71*Допущения!$B$23)*Допущения!$B$13*Допущения!$B$15+B71*Допущения!$B$14*Допущения!$B$16)/1000</f>
        <v>0.0279196124513141</v>
      </c>
      <c r="H71" s="17" t="n">
        <f aca="false">E71*Допущения!$B$27</f>
        <v>0.000112588368287063</v>
      </c>
      <c r="I71" s="17" t="n">
        <f aca="false">F71*Допущения!$B$22/30*Допущения!$B$28</f>
        <v>0.00343335637043326</v>
      </c>
      <c r="J71" s="17" t="n">
        <f aca="false">G71*Допущения!$B$17+(H71+I71)*Допущения!$B$18</f>
        <v>0.0157327785950172</v>
      </c>
      <c r="K71" s="19" t="n">
        <f aca="false">K70+J71</f>
        <v>3.16337299044531</v>
      </c>
      <c r="L71" s="19" t="n">
        <f aca="false">L70+G71*Допущения!$B$17</f>
        <v>2.51231471446564</v>
      </c>
      <c r="M71" s="19" t="n">
        <f aca="false">M70+H71*Допущения!$B$18</f>
        <v>0.466991401424358</v>
      </c>
      <c r="N71" s="19" t="n">
        <f aca="false">N70+I71*Допущения!$B$18</f>
        <v>0.184066874555309</v>
      </c>
      <c r="O71" s="19" t="n">
        <f aca="false">O70+G71+H71+I71</f>
        <v>6.32674598089062</v>
      </c>
      <c r="P71" s="17" t="n">
        <f aca="false">P70+F71</f>
        <v>0.076001500765031</v>
      </c>
      <c r="Q71" s="6" t="n">
        <f aca="false">MIN(MATCH(A71,$S$3:$X$3,1),5)</f>
        <v>3</v>
      </c>
    </row>
    <row r="72" customFormat="false" ht="15" hidden="false" customHeight="false" outlineLevel="0" collapsed="false">
      <c r="A72" s="6" t="n">
        <v>65</v>
      </c>
      <c r="B72" s="14" t="n">
        <f aca="false">INDEX($S$4:$X$4,Q72)*(INDEX($S$4:$X$4,Q72+1)/INDEX($S$4:$X$4,Q72))^((LN(A72)-LN(INDEX($S$3:$X$3,Q72)))/(LN(INDEX($S$3:$X$3,Q72+1))-LN(INDEX($S$3:$X$3,Q72))))</f>
        <v>0.028056685248129</v>
      </c>
      <c r="C72" s="33" t="n">
        <f aca="false">C71+B72</f>
        <v>5.13336989334213</v>
      </c>
      <c r="D72" s="36" t="n">
        <f aca="false">Допущения!$B$19*(1-EXP(-Допущения!$B$26*(A72+1)))</f>
        <v>0.00999020504025441</v>
      </c>
      <c r="E72" s="37" t="n">
        <f aca="false">D72-D71</f>
        <v>1.08415417188375E-006</v>
      </c>
      <c r="F72" s="37" t="n">
        <f aca="false">D72*MIN(1,B72*Допущения!$B$21)</f>
        <v>0.000700730095946725</v>
      </c>
      <c r="G72" s="17" t="n">
        <f aca="false">((B72-F72*Допущения!$B$23)*Допущения!$B$13*Допущения!$B$15+B72*Допущения!$B$14*Допущения!$B$16)/1000</f>
        <v>0.027597995544226</v>
      </c>
      <c r="H72" s="17" t="n">
        <f aca="false">E72*Допущения!$B$27</f>
        <v>0.00010136841507113</v>
      </c>
      <c r="I72" s="17" t="n">
        <f aca="false">F72*Допущения!$B$22/30*Допущения!$B$28</f>
        <v>0.0033941750457407</v>
      </c>
      <c r="J72" s="17" t="n">
        <f aca="false">G72*Допущения!$B$17+(H72+I72)*Допущения!$B$18</f>
        <v>0.0155467695025189</v>
      </c>
      <c r="K72" s="19" t="n">
        <f aca="false">K71+J72</f>
        <v>3.17891975994783</v>
      </c>
      <c r="L72" s="19" t="n">
        <f aca="false">L71+G72*Допущения!$B$17</f>
        <v>2.52611371223775</v>
      </c>
      <c r="M72" s="19" t="n">
        <f aca="false">M71+H72*Допущения!$B$18</f>
        <v>0.467042085631894</v>
      </c>
      <c r="N72" s="19" t="n">
        <f aca="false">N71+I72*Допущения!$B$18</f>
        <v>0.185763962078179</v>
      </c>
      <c r="O72" s="19" t="n">
        <f aca="false">O71+G72+H72+I72</f>
        <v>6.35783951989565</v>
      </c>
      <c r="P72" s="17" t="n">
        <f aca="false">P71+F72</f>
        <v>0.0767022308609777</v>
      </c>
      <c r="Q72" s="6" t="n">
        <f aca="false">MIN(MATCH(A72,$S$3:$X$3,1),5)</f>
        <v>3</v>
      </c>
    </row>
    <row r="73" customFormat="false" ht="15" hidden="false" customHeight="false" outlineLevel="0" collapsed="false">
      <c r="A73" s="6" t="n">
        <v>66</v>
      </c>
      <c r="B73" s="14" t="n">
        <f aca="false">INDEX($S$4:$X$4,Q73)*(INDEX($S$4:$X$4,Q73+1)/INDEX($S$4:$X$4,Q73))^((LN(A73)-LN(INDEX($S$3:$X$3,Q73)))/(LN(INDEX($S$3:$X$3,Q73+1))-LN(INDEX($S$3:$X$3,Q73))))</f>
        <v>0.0277383997951356</v>
      </c>
      <c r="C73" s="33" t="n">
        <f aca="false">C72+B73</f>
        <v>5.16110829313727</v>
      </c>
      <c r="D73" s="36" t="n">
        <f aca="false">Допущения!$B$19*(1-EXP(-Допущения!$B$26*(A73+1)))</f>
        <v>0.0099911811534335</v>
      </c>
      <c r="E73" s="37" t="n">
        <f aca="false">D73-D72</f>
        <v>9.7611317908565E-007</v>
      </c>
      <c r="F73" s="37" t="n">
        <f aca="false">D73*MIN(1,B73*Допущения!$B$21)</f>
        <v>0.000692848443148906</v>
      </c>
      <c r="G73" s="17" t="n">
        <f aca="false">((B73-F73*Допущения!$B$23)*Допущения!$B$13*Допущения!$B$15+B73*Допущения!$B$14*Допущения!$B$16)/1000</f>
        <v>0.0272849099822785</v>
      </c>
      <c r="H73" s="17" t="n">
        <f aca="false">E73*Допущения!$B$27</f>
        <v>9.12665822445083E-005</v>
      </c>
      <c r="I73" s="17" t="n">
        <f aca="false">F73*Допущения!$B$22/30*Допущения!$B$28</f>
        <v>0.00335599813654229</v>
      </c>
      <c r="J73" s="17" t="n">
        <f aca="false">G73*Допущения!$B$17+(H73+I73)*Допущения!$B$18</f>
        <v>0.0153660873505327</v>
      </c>
      <c r="K73" s="19" t="n">
        <f aca="false">K72+J73</f>
        <v>3.19428584729836</v>
      </c>
      <c r="L73" s="19" t="n">
        <f aca="false">L72+G73*Допущения!$B$17</f>
        <v>2.53975616722889</v>
      </c>
      <c r="M73" s="19" t="n">
        <f aca="false">M72+H73*Допущения!$B$18</f>
        <v>0.467087718923016</v>
      </c>
      <c r="N73" s="19" t="n">
        <f aca="false">N72+I73*Допущения!$B$18</f>
        <v>0.18744196114645</v>
      </c>
      <c r="O73" s="19" t="n">
        <f aca="false">O72+G73+H73+I73</f>
        <v>6.38857169459672</v>
      </c>
      <c r="P73" s="17" t="n">
        <f aca="false">P72+F73</f>
        <v>0.0773950793041266</v>
      </c>
      <c r="Q73" s="6" t="n">
        <f aca="false">MIN(MATCH(A73,$S$3:$X$3,1),5)</f>
        <v>3</v>
      </c>
    </row>
    <row r="74" customFormat="false" ht="15" hidden="false" customHeight="false" outlineLevel="0" collapsed="false">
      <c r="A74" s="6" t="n">
        <v>67</v>
      </c>
      <c r="B74" s="14" t="n">
        <f aca="false">INDEX($S$4:$X$4,Q74)*(INDEX($S$4:$X$4,Q74+1)/INDEX($S$4:$X$4,Q74))^((LN(A74)-LN(INDEX($S$3:$X$3,Q74)))/(LN(INDEX($S$3:$X$3,Q74+1))-LN(INDEX($S$3:$X$3,Q74))))</f>
        <v>0.0274284306806992</v>
      </c>
      <c r="C74" s="33" t="n">
        <f aca="false">C73+B74</f>
        <v>5.18853672381797</v>
      </c>
      <c r="D74" s="36" t="n">
        <f aca="false">Допущения!$B$19*(1-EXP(-Допущения!$B$26*(A74+1)))</f>
        <v>0.00999205999240594</v>
      </c>
      <c r="E74" s="37" t="n">
        <f aca="false">D74-D73</f>
        <v>8.78838972437693E-007</v>
      </c>
      <c r="F74" s="37" t="n">
        <f aca="false">D74*MIN(1,B74*Допущения!$B$21)</f>
        <v>0.000685166312147736</v>
      </c>
      <c r="G74" s="17" t="n">
        <f aca="false">((B74-F74*Допущения!$B$23)*Допущения!$B$13*Допущения!$B$15+B74*Допущения!$B$14*Допущения!$B$16)/1000</f>
        <v>0.0269800052396328</v>
      </c>
      <c r="H74" s="17" t="n">
        <f aca="false">E74*Допущения!$B$27</f>
        <v>8.21714439229243E-005</v>
      </c>
      <c r="I74" s="17" t="n">
        <f aca="false">F74*Допущения!$B$22/30*Допущения!$B$28</f>
        <v>0.00331878766493117</v>
      </c>
      <c r="J74" s="17" t="n">
        <f aca="false">G74*Допущения!$B$17+(H74+I74)*Допущения!$B$18</f>
        <v>0.0151904821742434</v>
      </c>
      <c r="K74" s="19" t="n">
        <f aca="false">K73+J74</f>
        <v>3.2094763294726</v>
      </c>
      <c r="L74" s="19" t="n">
        <f aca="false">L73+G74*Допущения!$B$17</f>
        <v>2.55324616984871</v>
      </c>
      <c r="M74" s="19" t="n">
        <f aca="false">M73+H74*Допущения!$B$18</f>
        <v>0.467128804644977</v>
      </c>
      <c r="N74" s="19" t="n">
        <f aca="false">N73+I74*Допущения!$B$18</f>
        <v>0.189101354978916</v>
      </c>
      <c r="O74" s="19" t="n">
        <f aca="false">O73+G74+H74+I74</f>
        <v>6.41895265894521</v>
      </c>
      <c r="P74" s="17" t="n">
        <f aca="false">P73+F74</f>
        <v>0.0780802456162744</v>
      </c>
      <c r="Q74" s="6" t="n">
        <f aca="false">MIN(MATCH(A74,$S$3:$X$3,1),5)</f>
        <v>3</v>
      </c>
    </row>
    <row r="75" customFormat="false" ht="15" hidden="false" customHeight="false" outlineLevel="0" collapsed="false">
      <c r="A75" s="6" t="n">
        <v>68</v>
      </c>
      <c r="B75" s="14" t="n">
        <f aca="false">INDEX($S$4:$X$4,Q75)*(INDEX($S$4:$X$4,Q75+1)/INDEX($S$4:$X$4,Q75))^((LN(A75)-LN(INDEX($S$3:$X$3,Q75)))/(LN(INDEX($S$3:$X$3,Q75+1))-LN(INDEX($S$3:$X$3,Q75))))</f>
        <v>0.0271264412825165</v>
      </c>
      <c r="C75" s="33" t="n">
        <f aca="false">C74+B75</f>
        <v>5.21566316510049</v>
      </c>
      <c r="D75" s="36" t="n">
        <f aca="false">Допущения!$B$19*(1-EXP(-Допущения!$B$26*(A75+1)))</f>
        <v>0.00999285125099769</v>
      </c>
      <c r="E75" s="37" t="n">
        <f aca="false">D75-D74</f>
        <v>7.91258591757368E-007</v>
      </c>
      <c r="F75" s="37" t="n">
        <f aca="false">D75*MIN(1,B75*Допущения!$B$21)</f>
        <v>0.000677676231762776</v>
      </c>
      <c r="G75" s="17" t="n">
        <f aca="false">((B75-F75*Допущения!$B$23)*Допущения!$B$13*Допущения!$B$15+B75*Допущения!$B$14*Допущения!$B$16)/1000</f>
        <v>0.0266829501467635</v>
      </c>
      <c r="H75" s="17" t="n">
        <f aca="false">E75*Допущения!$B$27</f>
        <v>7.39826783293139E-005</v>
      </c>
      <c r="I75" s="17" t="n">
        <f aca="false">F75*Допущения!$B$22/30*Допущения!$B$28</f>
        <v>0.00328250744223163</v>
      </c>
      <c r="J75" s="17" t="n">
        <f aca="false">G75*Допущения!$B$17+(H75+I75)*Допущения!$B$18</f>
        <v>0.0150197201336622</v>
      </c>
      <c r="K75" s="19" t="n">
        <f aca="false">K74+J75</f>
        <v>3.22449604960626</v>
      </c>
      <c r="L75" s="19" t="n">
        <f aca="false">L74+G75*Допущения!$B$17</f>
        <v>2.56658764492209</v>
      </c>
      <c r="M75" s="19" t="n">
        <f aca="false">M74+H75*Допущения!$B$18</f>
        <v>0.467165795984142</v>
      </c>
      <c r="N75" s="19" t="n">
        <f aca="false">N74+I75*Допущения!$B$18</f>
        <v>0.190742608700032</v>
      </c>
      <c r="O75" s="19" t="n">
        <f aca="false">O74+G75+H75+I75</f>
        <v>6.44899209921253</v>
      </c>
      <c r="P75" s="17" t="n">
        <f aca="false">P74+F75</f>
        <v>0.0787579218480371</v>
      </c>
      <c r="Q75" s="6" t="n">
        <f aca="false">MIN(MATCH(A75,$S$3:$X$3,1),5)</f>
        <v>3</v>
      </c>
    </row>
    <row r="76" customFormat="false" ht="15" hidden="false" customHeight="false" outlineLevel="0" collapsed="false">
      <c r="A76" s="6" t="n">
        <v>69</v>
      </c>
      <c r="B76" s="14" t="n">
        <f aca="false">INDEX($S$4:$X$4,Q76)*(INDEX($S$4:$X$4,Q76+1)/INDEX($S$4:$X$4,Q76))^((LN(A76)-LN(INDEX($S$3:$X$3,Q76)))/(LN(INDEX($S$3:$X$3,Q76+1))-LN(INDEX($S$3:$X$3,Q76))))</f>
        <v>0.0268321132936832</v>
      </c>
      <c r="C76" s="33" t="n">
        <f aca="false">C75+B76</f>
        <v>5.24249527839417</v>
      </c>
      <c r="D76" s="36" t="n">
        <f aca="false">Допущения!$B$19*(1-EXP(-Допущения!$B$26*(A76+1)))</f>
        <v>0.009993563657</v>
      </c>
      <c r="E76" s="37" t="n">
        <f aca="false">D76-D75</f>
        <v>7.12406002308097E-007</v>
      </c>
      <c r="F76" s="37" t="n">
        <f aca="false">D76*MIN(1,B76*Допущения!$B$21)</f>
        <v>0.000670371080630649</v>
      </c>
      <c r="G76" s="17" t="n">
        <f aca="false">((B76-F76*Допущения!$B$23)*Допущения!$B$13*Допущения!$B$15+B76*Допущения!$B$14*Допущения!$B$16)/1000</f>
        <v>0.0263934315559239</v>
      </c>
      <c r="H76" s="17" t="n">
        <f aca="false">E76*Допущения!$B$27</f>
        <v>6.66099612158071E-005</v>
      </c>
      <c r="I76" s="17" t="n">
        <f aca="false">F76*Допущения!$B$22/30*Допущения!$B$28</f>
        <v>0.00324712297420113</v>
      </c>
      <c r="J76" s="17" t="n">
        <f aca="false">G76*Допущения!$B$17+(H76+I76)*Допущения!$B$18</f>
        <v>0.0148535822456704</v>
      </c>
      <c r="K76" s="19" t="n">
        <f aca="false">K75+J76</f>
        <v>3.23934963185194</v>
      </c>
      <c r="L76" s="19" t="n">
        <f aca="false">L75+G76*Допущения!$B$17</f>
        <v>2.57978436070005</v>
      </c>
      <c r="M76" s="19" t="n">
        <f aca="false">M75+H76*Допущения!$B$18</f>
        <v>0.46719910096475</v>
      </c>
      <c r="N76" s="19" t="n">
        <f aca="false">N75+I76*Допущения!$B$18</f>
        <v>0.192366170187132</v>
      </c>
      <c r="O76" s="19" t="n">
        <f aca="false">O75+G76+H76+I76</f>
        <v>6.47869926370387</v>
      </c>
      <c r="P76" s="17" t="n">
        <f aca="false">P75+F76</f>
        <v>0.0794282929286678</v>
      </c>
      <c r="Q76" s="6" t="n">
        <f aca="false">MIN(MATCH(A76,$S$3:$X$3,1),5)</f>
        <v>3</v>
      </c>
    </row>
    <row r="77" customFormat="false" ht="15" hidden="false" customHeight="false" outlineLevel="0" collapsed="false">
      <c r="A77" s="6" t="n">
        <v>70</v>
      </c>
      <c r="B77" s="14" t="n">
        <f aca="false">INDEX($S$4:$X$4,Q77)*(INDEX($S$4:$X$4,Q77+1)/INDEX($S$4:$X$4,Q77))^((LN(A77)-LN(INDEX($S$3:$X$3,Q77)))/(LN(INDEX($S$3:$X$3,Q77+1))-LN(INDEX($S$3:$X$3,Q77))))</f>
        <v>0.0265451454782952</v>
      </c>
      <c r="C77" s="33" t="n">
        <f aca="false">C76+B77</f>
        <v>5.26904042387246</v>
      </c>
      <c r="D77" s="36" t="n">
        <f aca="false">Допущения!$B$19*(1-EXP(-Допущения!$B$26*(A77+1)))</f>
        <v>0.00999420506843921</v>
      </c>
      <c r="E77" s="37" t="n">
        <f aca="false">D77-D76</f>
        <v>6.41411439209969E-007</v>
      </c>
      <c r="F77" s="37" t="n">
        <f aca="false">D77*MIN(1,B77*Допущения!$B$21)</f>
        <v>0.000663244068704084</v>
      </c>
      <c r="G77" s="17" t="n">
        <f aca="false">((B77-F77*Допущения!$B$23)*Допущения!$B$13*Допущения!$B$15+B77*Допущения!$B$14*Допущения!$B$16)/1000</f>
        <v>0.0261111531164107</v>
      </c>
      <c r="H77" s="17" t="n">
        <f aca="false">E77*Допущения!$B$27</f>
        <v>5.99719695661321E-005</v>
      </c>
      <c r="I77" s="17" t="n">
        <f aca="false">F77*Допущения!$B$22/30*Допущения!$B$28</f>
        <v>0.00321260137141603</v>
      </c>
      <c r="J77" s="17" t="n">
        <f aca="false">G77*Допущения!$B$17+(H77+I77)*Допущения!$B$18</f>
        <v>0.0146918632286964</v>
      </c>
      <c r="K77" s="19" t="n">
        <f aca="false">K76+J77</f>
        <v>3.25404149508063</v>
      </c>
      <c r="L77" s="19" t="n">
        <f aca="false">L76+G77*Допущения!$B$17</f>
        <v>2.59283993725826</v>
      </c>
      <c r="M77" s="19" t="n">
        <f aca="false">M76+H77*Допущения!$B$18</f>
        <v>0.467229086949533</v>
      </c>
      <c r="N77" s="19" t="n">
        <f aca="false">N76+I77*Допущения!$B$18</f>
        <v>0.19397247087284</v>
      </c>
      <c r="O77" s="19" t="n">
        <f aca="false">O76+G77+H77+I77</f>
        <v>6.50808299016127</v>
      </c>
      <c r="P77" s="17" t="n">
        <f aca="false">P76+F77</f>
        <v>0.0800915369973719</v>
      </c>
      <c r="Q77" s="6" t="n">
        <f aca="false">MIN(MATCH(A77,$S$3:$X$3,1),5)</f>
        <v>3</v>
      </c>
    </row>
    <row r="78" customFormat="false" ht="15" hidden="false" customHeight="false" outlineLevel="0" collapsed="false">
      <c r="A78" s="6" t="n">
        <v>71</v>
      </c>
      <c r="B78" s="14" t="n">
        <f aca="false">INDEX($S$4:$X$4,Q78)*(INDEX($S$4:$X$4,Q78+1)/INDEX($S$4:$X$4,Q78))^((LN(A78)-LN(INDEX($S$3:$X$3,Q78)))/(LN(INDEX($S$3:$X$3,Q78+1))-LN(INDEX($S$3:$X$3,Q78))))</f>
        <v>0.0262652525279622</v>
      </c>
      <c r="C78" s="33" t="n">
        <f aca="false">C77+B78</f>
        <v>5.29530567640043</v>
      </c>
      <c r="D78" s="36" t="n">
        <f aca="false">Допущения!$B$19*(1-EXP(-Допущения!$B$26*(A78+1)))</f>
        <v>0.00999478256025289</v>
      </c>
      <c r="E78" s="37" t="n">
        <f aca="false">D78-D77</f>
        <v>5.77491813678194E-007</v>
      </c>
      <c r="F78" s="37" t="n">
        <f aca="false">D78*MIN(1,B78*Допущения!$B$21)</f>
        <v>0.000656288719767787</v>
      </c>
      <c r="G78" s="17" t="n">
        <f aca="false">((B78-F78*Допущения!$B$23)*Допущения!$B$13*Допущения!$B$15+B78*Допущения!$B$14*Допущения!$B$16)/1000</f>
        <v>0.0258358341491753</v>
      </c>
      <c r="H78" s="17" t="n">
        <f aca="false">E78*Допущения!$B$27</f>
        <v>5.39954845789111E-005</v>
      </c>
      <c r="I78" s="17" t="n">
        <f aca="false">F78*Допущения!$B$22/30*Допущения!$B$28</f>
        <v>0.00317891126458238</v>
      </c>
      <c r="J78" s="17" t="n">
        <f aca="false">G78*Допущения!$B$17+(H78+I78)*Допущения!$B$18</f>
        <v>0.0145343704491683</v>
      </c>
      <c r="K78" s="19" t="n">
        <f aca="false">K77+J78</f>
        <v>3.2685758655298</v>
      </c>
      <c r="L78" s="19" t="n">
        <f aca="false">L77+G78*Допущения!$B$17</f>
        <v>2.60575785433285</v>
      </c>
      <c r="M78" s="19" t="n">
        <f aca="false">M77+H78*Допущения!$B$18</f>
        <v>0.467256084691823</v>
      </c>
      <c r="N78" s="19" t="n">
        <f aca="false">N77+I78*Допущения!$B$18</f>
        <v>0.195561926505132</v>
      </c>
      <c r="O78" s="19" t="n">
        <f aca="false">O77+G78+H78+I78</f>
        <v>6.5371517310596</v>
      </c>
      <c r="P78" s="17" t="n">
        <f aca="false">P77+F78</f>
        <v>0.0807478257171397</v>
      </c>
      <c r="Q78" s="6" t="n">
        <f aca="false">MIN(MATCH(A78,$S$3:$X$3,1),5)</f>
        <v>3</v>
      </c>
    </row>
    <row r="79" customFormat="false" ht="15" hidden="false" customHeight="false" outlineLevel="0" collapsed="false">
      <c r="A79" s="6" t="n">
        <v>72</v>
      </c>
      <c r="B79" s="14" t="n">
        <f aca="false">INDEX($S$4:$X$4,Q79)*(INDEX($S$4:$X$4,Q79+1)/INDEX($S$4:$X$4,Q79))^((LN(A79)-LN(INDEX($S$3:$X$3,Q79)))/(LN(INDEX($S$3:$X$3,Q79+1))-LN(INDEX($S$3:$X$3,Q79))))</f>
        <v>0.0259921640097632</v>
      </c>
      <c r="C79" s="33" t="n">
        <f aca="false">C78+B79</f>
        <v>5.32129784041019</v>
      </c>
      <c r="D79" s="36" t="n">
        <f aca="false">Допущения!$B$19*(1-EXP(-Допущения!$B$26*(A79+1)))</f>
        <v>0.00999530250232825</v>
      </c>
      <c r="E79" s="37" t="n">
        <f aca="false">D79-D78</f>
        <v>5.19942075364807E-007</v>
      </c>
      <c r="F79" s="37" t="n">
        <f aca="false">D79*MIN(1,B79*Допущения!$B$21)</f>
        <v>0.000649498854919282</v>
      </c>
      <c r="G79" s="17" t="n">
        <f aca="false">((B79-F79*Допущения!$B$23)*Допущения!$B$13*Допущения!$B$15+B79*Допущения!$B$14*Допущения!$B$16)/1000</f>
        <v>0.0255672086114511</v>
      </c>
      <c r="H79" s="17" t="n">
        <f aca="false">E79*Допущения!$B$27</f>
        <v>4.86145840466095E-005</v>
      </c>
      <c r="I79" s="17" t="n">
        <f aca="false">F79*Допущения!$B$22/30*Допущения!$B$28</f>
        <v>0.00314602272452101</v>
      </c>
      <c r="J79" s="17" t="n">
        <f aca="false">G79*Допущения!$B$17+(H79+I79)*Допущения!$B$18</f>
        <v>0.0143809229600094</v>
      </c>
      <c r="K79" s="19" t="n">
        <f aca="false">K78+J79</f>
        <v>3.28295678848981</v>
      </c>
      <c r="L79" s="19" t="n">
        <f aca="false">L78+G79*Допущения!$B$17</f>
        <v>2.61854145863857</v>
      </c>
      <c r="M79" s="19" t="n">
        <f aca="false">M78+H79*Допущения!$B$18</f>
        <v>0.467280391983846</v>
      </c>
      <c r="N79" s="19" t="n">
        <f aca="false">N78+I79*Допущения!$B$18</f>
        <v>0.197134937867392</v>
      </c>
      <c r="O79" s="19" t="n">
        <f aca="false">O78+G79+H79+I79</f>
        <v>6.56591357697962</v>
      </c>
      <c r="P79" s="17" t="n">
        <f aca="false">P78+F79</f>
        <v>0.0813973245720589</v>
      </c>
      <c r="Q79" s="6" t="n">
        <f aca="false">MIN(MATCH(A79,$S$3:$X$3,1),5)</f>
        <v>3</v>
      </c>
    </row>
    <row r="80" customFormat="false" ht="15" hidden="false" customHeight="false" outlineLevel="0" collapsed="false">
      <c r="A80" s="6" t="n">
        <v>73</v>
      </c>
      <c r="B80" s="14" t="n">
        <f aca="false">INDEX($S$4:$X$4,Q80)*(INDEX($S$4:$X$4,Q80+1)/INDEX($S$4:$X$4,Q80))^((LN(A80)-LN(INDEX($S$3:$X$3,Q80)))/(LN(INDEX($S$3:$X$3,Q80+1))-LN(INDEX($S$3:$X$3,Q80))))</f>
        <v>0.0257256233971738</v>
      </c>
      <c r="C80" s="33" t="n">
        <f aca="false">C79+B80</f>
        <v>5.34702346380736</v>
      </c>
      <c r="D80" s="36" t="n">
        <f aca="false">Допущения!$B$19*(1-EXP(-Допущения!$B$26*(A80+1)))</f>
        <v>0.00999577062976371</v>
      </c>
      <c r="E80" s="37" t="n">
        <f aca="false">D80-D79</f>
        <v>4.68127435458016E-007</v>
      </c>
      <c r="F80" s="37" t="n">
        <f aca="false">D80*MIN(1,B80*Допущения!$B$21)</f>
        <v>0.000642868576964581</v>
      </c>
      <c r="G80" s="17" t="n">
        <f aca="false">((B80-F80*Допущения!$B$23)*Допущения!$B$13*Допущения!$B$15+B80*Допущения!$B$14*Допущения!$B$16)/1000</f>
        <v>0.0253050241430601</v>
      </c>
      <c r="H80" s="17" t="n">
        <f aca="false">E80*Допущения!$B$27</f>
        <v>4.37699152153245E-005</v>
      </c>
      <c r="I80" s="17" t="n">
        <f aca="false">F80*Допущения!$B$22/30*Допущения!$B$28</f>
        <v>0.00311390718658373</v>
      </c>
      <c r="J80" s="17" t="n">
        <f aca="false">G80*Допущения!$B$17+(H80+I80)*Допущения!$B$18</f>
        <v>0.0142313506224296</v>
      </c>
      <c r="K80" s="19" t="n">
        <f aca="false">K79+J80</f>
        <v>3.29718813911224</v>
      </c>
      <c r="L80" s="19" t="n">
        <f aca="false">L79+G80*Допущения!$B$17</f>
        <v>2.6311939707101</v>
      </c>
      <c r="M80" s="19" t="n">
        <f aca="false">M79+H80*Допущения!$B$18</f>
        <v>0.467302276941454</v>
      </c>
      <c r="N80" s="19" t="n">
        <f aca="false">N79+I80*Допущения!$B$18</f>
        <v>0.198691891460684</v>
      </c>
      <c r="O80" s="19" t="n">
        <f aca="false">O79+G80+H80+I80</f>
        <v>6.59437627822448</v>
      </c>
      <c r="P80" s="17" t="n">
        <f aca="false">P79+F80</f>
        <v>0.0820401931490235</v>
      </c>
      <c r="Q80" s="6" t="n">
        <f aca="false">MIN(MATCH(A80,$S$3:$X$3,1),5)</f>
        <v>3</v>
      </c>
    </row>
    <row r="81" customFormat="false" ht="15" hidden="false" customHeight="false" outlineLevel="0" collapsed="false">
      <c r="A81" s="6" t="n">
        <v>74</v>
      </c>
      <c r="B81" s="14" t="n">
        <f aca="false">INDEX($S$4:$X$4,Q81)*(INDEX($S$4:$X$4,Q81+1)/INDEX($S$4:$X$4,Q81))^((LN(A81)-LN(INDEX($S$3:$X$3,Q81)))/(LN(INDEX($S$3:$X$3,Q81+1))-LN(INDEX($S$3:$X$3,Q81))))</f>
        <v>0.0254653871763893</v>
      </c>
      <c r="C81" s="33" t="n">
        <f aca="false">C80+B81</f>
        <v>5.37248885098375</v>
      </c>
      <c r="D81" s="36" t="n">
        <f aca="false">Допущения!$B$19*(1-EXP(-Допущения!$B$26*(A81+1)))</f>
        <v>0.00999619210612851</v>
      </c>
      <c r="E81" s="37" t="n">
        <f aca="false">D81-D80</f>
        <v>4.21476364793547E-007</v>
      </c>
      <c r="F81" s="37" t="n">
        <f aca="false">D81*MIN(1,B81*Допущения!$B$21)</f>
        <v>0.000636392255680323</v>
      </c>
      <c r="G81" s="17" t="n">
        <f aca="false">((B81-F81*Допущения!$B$23)*Допущения!$B$13*Допущения!$B$15+B81*Допущения!$B$14*Допущения!$B$16)/1000</f>
        <v>0.0250490411869368</v>
      </c>
      <c r="H81" s="17" t="n">
        <f aca="false">E81*Допущения!$B$27</f>
        <v>3.94080401081966E-005</v>
      </c>
      <c r="I81" s="17" t="n">
        <f aca="false">F81*Допущения!$B$22/30*Допущения!$B$28</f>
        <v>0.00308253737926651</v>
      </c>
      <c r="J81" s="17" t="n">
        <f aca="false">G81*Допущения!$B$17+(H81+I81)*Допущения!$B$18</f>
        <v>0.0140854933031557</v>
      </c>
      <c r="K81" s="19" t="n">
        <f aca="false">K80+J81</f>
        <v>3.31127363241539</v>
      </c>
      <c r="L81" s="19" t="n">
        <f aca="false">L80+G81*Допущения!$B$17</f>
        <v>2.64371849130357</v>
      </c>
      <c r="M81" s="19" t="n">
        <f aca="false">M80+H81*Допущения!$B$18</f>
        <v>0.467321980961508</v>
      </c>
      <c r="N81" s="19" t="n">
        <f aca="false">N80+I81*Допущения!$B$18</f>
        <v>0.200233160150317</v>
      </c>
      <c r="O81" s="19" t="n">
        <f aca="false">O80+G81+H81+I81</f>
        <v>6.62254726483079</v>
      </c>
      <c r="P81" s="17" t="n">
        <f aca="false">P80+F81</f>
        <v>0.0826765854047038</v>
      </c>
      <c r="Q81" s="6" t="n">
        <f aca="false">MIN(MATCH(A81,$S$3:$X$3,1),5)</f>
        <v>3</v>
      </c>
    </row>
    <row r="82" customFormat="false" ht="15" hidden="false" customHeight="false" outlineLevel="0" collapsed="false">
      <c r="A82" s="6" t="n">
        <v>75</v>
      </c>
      <c r="B82" s="14" t="n">
        <f aca="false">INDEX($S$4:$X$4,Q82)*(INDEX($S$4:$X$4,Q82+1)/INDEX($S$4:$X$4,Q82))^((LN(A82)-LN(INDEX($S$3:$X$3,Q82)))/(LN(INDEX($S$3:$X$3,Q82+1))-LN(INDEX($S$3:$X$3,Q82))))</f>
        <v>0.0252112240212477</v>
      </c>
      <c r="C82" s="33" t="n">
        <f aca="false">C81+B82</f>
        <v>5.397700075005</v>
      </c>
      <c r="D82" s="36" t="n">
        <f aca="false">Допущения!$B$19*(1-EXP(-Допущения!$B$26*(A82+1)))</f>
        <v>0.00999657158041825</v>
      </c>
      <c r="E82" s="37" t="n">
        <f aca="false">D82-D81</f>
        <v>3.79474289742901E-007</v>
      </c>
      <c r="F82" s="37" t="n">
        <f aca="false">D82*MIN(1,B82*Допущения!$B$21)</f>
        <v>0.000630064513895906</v>
      </c>
      <c r="G82" s="17" t="n">
        <f aca="false">((B82-F82*Допущения!$B$23)*Допущения!$B$13*Допущения!$B$15+B82*Допущения!$B$14*Допущения!$B$16)/1000</f>
        <v>0.0247990321771786</v>
      </c>
      <c r="H82" s="17" t="n">
        <f aca="false">E82*Допущения!$B$27</f>
        <v>3.54808460909612E-005</v>
      </c>
      <c r="I82" s="17" t="n">
        <f aca="false">F82*Допущения!$B$22/30*Допущения!$B$28</f>
        <v>0.00305188725679454</v>
      </c>
      <c r="J82" s="17" t="n">
        <f aca="false">G82*Допущения!$B$17+(H82+I82)*Допущения!$B$18</f>
        <v>0.013943200140032</v>
      </c>
      <c r="K82" s="19" t="n">
        <f aca="false">K81+J82</f>
        <v>3.32521683255543</v>
      </c>
      <c r="L82" s="19" t="n">
        <f aca="false">L81+G82*Допущения!$B$17</f>
        <v>2.65611800739216</v>
      </c>
      <c r="M82" s="19" t="n">
        <f aca="false">M81+H82*Допущения!$B$18</f>
        <v>0.467339721384553</v>
      </c>
      <c r="N82" s="19" t="n">
        <f aca="false">N81+I82*Допущения!$B$18</f>
        <v>0.201759103778715</v>
      </c>
      <c r="O82" s="19" t="n">
        <f aca="false">O81+G82+H82+I82</f>
        <v>6.65043366511086</v>
      </c>
      <c r="P82" s="17" t="n">
        <f aca="false">P81+F82</f>
        <v>0.0833066499185998</v>
      </c>
      <c r="Q82" s="6" t="n">
        <f aca="false">MIN(MATCH(A82,$S$3:$X$3,1),5)</f>
        <v>3</v>
      </c>
    </row>
    <row r="83" customFormat="false" ht="15" hidden="false" customHeight="false" outlineLevel="0" collapsed="false">
      <c r="A83" s="6" t="n">
        <v>76</v>
      </c>
      <c r="B83" s="14" t="n">
        <f aca="false">INDEX($S$4:$X$4,Q83)*(INDEX($S$4:$X$4,Q83+1)/INDEX($S$4:$X$4,Q83))^((LN(A83)-LN(INDEX($S$3:$X$3,Q83)))/(LN(INDEX($S$3:$X$3,Q83+1))-LN(INDEX($S$3:$X$3,Q83))))</f>
        <v>0.0249629140306522</v>
      </c>
      <c r="C83" s="33" t="n">
        <f aca="false">C82+B83</f>
        <v>5.42266298903565</v>
      </c>
      <c r="D83" s="36" t="n">
        <f aca="false">Допущения!$B$19*(1-EXP(-Допущения!$B$26*(A83+1)))</f>
        <v>0.00999691323833458</v>
      </c>
      <c r="E83" s="37" t="n">
        <f aca="false">D83-D82</f>
        <v>3.41657916328245E-007</v>
      </c>
      <c r="F83" s="37" t="n">
        <f aca="false">D83*MIN(1,B83*Допущения!$B$21)</f>
        <v>0.000623880214351087</v>
      </c>
      <c r="G83" s="17" t="n">
        <f aca="false">((B83-F83*Допущения!$B$23)*Допущения!$B$13*Допущения!$B$15+B83*Допущения!$B$14*Допущения!$B$16)/1000</f>
        <v>0.0245547807886175</v>
      </c>
      <c r="H83" s="17" t="n">
        <f aca="false">E83*Допущения!$B$27</f>
        <v>3.19450151766909E-005</v>
      </c>
      <c r="I83" s="17" t="n">
        <f aca="false">F83*Допущения!$B$22/30*Допущения!$B$28</f>
        <v>0.00302193193546351</v>
      </c>
      <c r="J83" s="17" t="n">
        <f aca="false">G83*Допущения!$B$17+(H83+I83)*Допущения!$B$18</f>
        <v>0.0138043288696288</v>
      </c>
      <c r="K83" s="19" t="n">
        <f aca="false">K82+J83</f>
        <v>3.33902116142506</v>
      </c>
      <c r="L83" s="19" t="n">
        <f aca="false">L82+G83*Допущения!$B$17</f>
        <v>2.66839539778647</v>
      </c>
      <c r="M83" s="19" t="n">
        <f aca="false">M82+H83*Допущения!$B$18</f>
        <v>0.467355693892141</v>
      </c>
      <c r="N83" s="19" t="n">
        <f aca="false">N82+I83*Допущения!$B$18</f>
        <v>0.203270069746446</v>
      </c>
      <c r="O83" s="19" t="n">
        <f aca="false">O82+G83+H83+I83</f>
        <v>6.67804232285011</v>
      </c>
      <c r="P83" s="17" t="n">
        <f aca="false">P82+F83</f>
        <v>0.0839305301329508</v>
      </c>
      <c r="Q83" s="6" t="n">
        <f aca="false">MIN(MATCH(A83,$S$3:$X$3,1),5)</f>
        <v>3</v>
      </c>
    </row>
    <row r="84" customFormat="false" ht="15" hidden="false" customHeight="false" outlineLevel="0" collapsed="false">
      <c r="A84" s="6" t="n">
        <v>77</v>
      </c>
      <c r="B84" s="14" t="n">
        <f aca="false">INDEX($S$4:$X$4,Q84)*(INDEX($S$4:$X$4,Q84+1)/INDEX($S$4:$X$4,Q84))^((LN(A84)-LN(INDEX($S$3:$X$3,Q84)))/(LN(INDEX($S$3:$X$3,Q84+1))-LN(INDEX($S$3:$X$3,Q84))))</f>
        <v>0.0247202480230084</v>
      </c>
      <c r="C84" s="33" t="n">
        <f aca="false">C83+B84</f>
        <v>5.44738323705866</v>
      </c>
      <c r="D84" s="36" t="n">
        <f aca="false">Допущения!$B$19*(1-EXP(-Допущения!$B$26*(A84+1)))</f>
        <v>0.00999722084845453</v>
      </c>
      <c r="E84" s="37" t="n">
        <f aca="false">D84-D83</f>
        <v>3.07610119956031E-007</v>
      </c>
      <c r="F84" s="37" t="n">
        <f aca="false">D84*MIN(1,B84*Допущения!$B$21)</f>
        <v>0.000617834447286466</v>
      </c>
      <c r="G84" s="17" t="n">
        <f aca="false">((B84-F84*Допущения!$B$23)*Допущения!$B$13*Допущения!$B$15+B84*Допущения!$B$14*Допущения!$B$16)/1000</f>
        <v>0.0243160812425098</v>
      </c>
      <c r="H84" s="17" t="n">
        <f aca="false">E84*Допущения!$B$27</f>
        <v>2.87615462158889E-005</v>
      </c>
      <c r="I84" s="17" t="n">
        <f aca="false">F84*Допущения!$B$22/30*Допущения!$B$28</f>
        <v>0.00299264763353072</v>
      </c>
      <c r="J84" s="17" t="n">
        <f aca="false">G84*Допущения!$B$17+(H84+I84)*Допущения!$B$18</f>
        <v>0.0136687452111282</v>
      </c>
      <c r="K84" s="19" t="n">
        <f aca="false">K83+J84</f>
        <v>3.35268990663618</v>
      </c>
      <c r="L84" s="19" t="n">
        <f aca="false">L83+G84*Допущения!$B$17</f>
        <v>2.68055343840772</v>
      </c>
      <c r="M84" s="19" t="n">
        <f aca="false">M83+H84*Допущения!$B$18</f>
        <v>0.467370074665249</v>
      </c>
      <c r="N84" s="19" t="n">
        <f aca="false">N83+I84*Допущения!$B$18</f>
        <v>0.204766393563212</v>
      </c>
      <c r="O84" s="19" t="n">
        <f aca="false">O83+G84+H84+I84</f>
        <v>6.70537981327237</v>
      </c>
      <c r="P84" s="17" t="n">
        <f aca="false">P83+F84</f>
        <v>0.0845483645802373</v>
      </c>
      <c r="Q84" s="6" t="n">
        <f aca="false">MIN(MATCH(A84,$S$3:$X$3,1),5)</f>
        <v>3</v>
      </c>
    </row>
    <row r="85" customFormat="false" ht="15" hidden="false" customHeight="false" outlineLevel="0" collapsed="false">
      <c r="A85" s="6" t="n">
        <v>78</v>
      </c>
      <c r="B85" s="14" t="n">
        <f aca="false">INDEX($S$4:$X$4,Q85)*(INDEX($S$4:$X$4,Q85+1)/INDEX($S$4:$X$4,Q85))^((LN(A85)-LN(INDEX($S$3:$X$3,Q85)))/(LN(INDEX($S$3:$X$3,Q85+1))-LN(INDEX($S$3:$X$3,Q85))))</f>
        <v>0.0244830268827341</v>
      </c>
      <c r="C85" s="33" t="n">
        <f aca="false">C84+B85</f>
        <v>5.4718662639414</v>
      </c>
      <c r="D85" s="36" t="n">
        <f aca="false">Допущения!$B$19*(1-EXP(-Допущения!$B$26*(A85+1)))</f>
        <v>0.00999749780379898</v>
      </c>
      <c r="E85" s="37" t="n">
        <f aca="false">D85-D84</f>
        <v>2.76955344449825E-007</v>
      </c>
      <c r="F85" s="37" t="n">
        <f aca="false">D85*MIN(1,B85*Допущения!$B$21)</f>
        <v>0.000611922518726214</v>
      </c>
      <c r="G85" s="17" t="n">
        <f aca="false">((B85-F85*Допущения!$B$23)*Допущения!$B$13*Допущения!$B$15+B85*Допущения!$B$14*Допущения!$B$16)/1000</f>
        <v>0.0240827376634819</v>
      </c>
      <c r="H85" s="17" t="n">
        <f aca="false">E85*Допущения!$B$27</f>
        <v>2.58953247060587E-005</v>
      </c>
      <c r="I85" s="17" t="n">
        <f aca="false">F85*Допущения!$B$22/30*Допущения!$B$28</f>
        <v>0.00296401161445936</v>
      </c>
      <c r="J85" s="17" t="n">
        <f aca="false">G85*Допущения!$B$17+(H85+I85)*Допущения!$B$18</f>
        <v>0.0135363223013236</v>
      </c>
      <c r="K85" s="19" t="n">
        <f aca="false">K84+J85</f>
        <v>3.36622622893751</v>
      </c>
      <c r="L85" s="19" t="n">
        <f aca="false">L84+G85*Допущения!$B$17</f>
        <v>2.69259480723946</v>
      </c>
      <c r="M85" s="19" t="n">
        <f aca="false">M84+H85*Допущения!$B$18</f>
        <v>0.467383022327602</v>
      </c>
      <c r="N85" s="19" t="n">
        <f aca="false">N84+I85*Допущения!$B$18</f>
        <v>0.206248399370441</v>
      </c>
      <c r="O85" s="19" t="n">
        <f aca="false">O84+G85+H85+I85</f>
        <v>6.73245245787502</v>
      </c>
      <c r="P85" s="17" t="n">
        <f aca="false">P84+F85</f>
        <v>0.0851602870989635</v>
      </c>
      <c r="Q85" s="6" t="n">
        <f aca="false">MIN(MATCH(A85,$S$3:$X$3,1),5)</f>
        <v>3</v>
      </c>
    </row>
    <row r="86" customFormat="false" ht="15" hidden="false" customHeight="false" outlineLevel="0" collapsed="false">
      <c r="A86" s="6" t="n">
        <v>79</v>
      </c>
      <c r="B86" s="14" t="n">
        <f aca="false">INDEX($S$4:$X$4,Q86)*(INDEX($S$4:$X$4,Q86+1)/INDEX($S$4:$X$4,Q86))^((LN(A86)-LN(INDEX($S$3:$X$3,Q86)))/(LN(INDEX($S$3:$X$3,Q86+1))-LN(INDEX($S$3:$X$3,Q86))))</f>
        <v>0.0242510609543889</v>
      </c>
      <c r="C86" s="33" t="n">
        <f aca="false">C85+B86</f>
        <v>5.49611732489578</v>
      </c>
      <c r="D86" s="36" t="n">
        <f aca="false">Допущения!$B$19*(1-EXP(-Допущения!$B$26*(A86+1)))</f>
        <v>0.00999774715925851</v>
      </c>
      <c r="E86" s="37" t="n">
        <f aca="false">D86-D85</f>
        <v>2.49355459532377E-007</v>
      </c>
      <c r="F86" s="37" t="n">
        <f aca="false">D86*MIN(1,B86*Допущения!$B$21)</f>
        <v>0.000606139939414367</v>
      </c>
      <c r="G86" s="17" t="n">
        <f aca="false">((B86-F86*Допущения!$B$23)*Допущения!$B$13*Допущения!$B$15+B86*Допущения!$B$14*Допущения!$B$16)/1000</f>
        <v>0.0238545634833447</v>
      </c>
      <c r="H86" s="17" t="n">
        <f aca="false">E86*Допущения!$B$27</f>
        <v>2.33147354662773E-005</v>
      </c>
      <c r="I86" s="17" t="n">
        <f aca="false">F86*Допущения!$B$22/30*Допущения!$B$28</f>
        <v>0.00293600213332844</v>
      </c>
      <c r="J86" s="17" t="n">
        <f aca="false">G86*Допущения!$B$17+(H86+I86)*Допущения!$B$18</f>
        <v>0.0134069401760697</v>
      </c>
      <c r="K86" s="19" t="n">
        <f aca="false">K85+J86</f>
        <v>3.37963316911358</v>
      </c>
      <c r="L86" s="19" t="n">
        <f aca="false">L85+G86*Допущения!$B$17</f>
        <v>2.70452208898114</v>
      </c>
      <c r="M86" s="19" t="n">
        <f aca="false">M85+H86*Допущения!$B$18</f>
        <v>0.467394679695336</v>
      </c>
      <c r="N86" s="19" t="n">
        <f aca="false">N85+I86*Допущения!$B$18</f>
        <v>0.207716400437106</v>
      </c>
      <c r="O86" s="19" t="n">
        <f aca="false">O85+G86+H86+I86</f>
        <v>6.75926633822716</v>
      </c>
      <c r="P86" s="17" t="n">
        <f aca="false">P85+F86</f>
        <v>0.0857664270383779</v>
      </c>
      <c r="Q86" s="6" t="n">
        <f aca="false">MIN(MATCH(A86,$S$3:$X$3,1),5)</f>
        <v>3</v>
      </c>
    </row>
    <row r="87" customFormat="false" ht="15" hidden="false" customHeight="false" outlineLevel="0" collapsed="false">
      <c r="A87" s="6" t="n">
        <v>80</v>
      </c>
      <c r="B87" s="14" t="n">
        <f aca="false">INDEX($S$4:$X$4,Q87)*(INDEX($S$4:$X$4,Q87+1)/INDEX($S$4:$X$4,Q87))^((LN(A87)-LN(INDEX($S$3:$X$3,Q87)))/(LN(INDEX($S$3:$X$3,Q87+1))-LN(INDEX($S$3:$X$3,Q87))))</f>
        <v>0.0240241694803999</v>
      </c>
      <c r="C87" s="33" t="n">
        <f aca="false">C86+B87</f>
        <v>5.52014149437618</v>
      </c>
      <c r="D87" s="36" t="n">
        <f aca="false">Допущения!$B$19*(1-EXP(-Допущения!$B$26*(A87+1)))</f>
        <v>0.00999797166528971</v>
      </c>
      <c r="E87" s="37" t="n">
        <f aca="false">D87-D86</f>
        <v>2.24506031190966E-007</v>
      </c>
      <c r="F87" s="37" t="n">
        <f aca="false">D87*MIN(1,B87*Допущения!$B$21)</f>
        <v>0.000600482414367889</v>
      </c>
      <c r="G87" s="17" t="n">
        <f aca="false">((B87-F87*Допущения!$B$23)*Допущения!$B$13*Допущения!$B$15+B87*Допущения!$B$14*Допущения!$B$16)/1000</f>
        <v>0.023631380887818</v>
      </c>
      <c r="H87" s="17" t="n">
        <f aca="false">E87*Допущения!$B$27</f>
        <v>2.09913139163553E-005</v>
      </c>
      <c r="I87" s="17" t="n">
        <f aca="false">F87*Допущения!$B$22/30*Допущения!$B$28</f>
        <v>0.00290859838623026</v>
      </c>
      <c r="J87" s="17" t="n">
        <f aca="false">G87*Допущения!$B$17+(H87+I87)*Допущения!$B$18</f>
        <v>0.0132804852939823</v>
      </c>
      <c r="K87" s="19" t="n">
        <f aca="false">K86+J87</f>
        <v>3.39291365440756</v>
      </c>
      <c r="L87" s="19" t="n">
        <f aca="false">L86+G87*Допущения!$B$17</f>
        <v>2.71633777942504</v>
      </c>
      <c r="M87" s="19" t="n">
        <f aca="false">M86+H87*Допущения!$B$18</f>
        <v>0.467405175352294</v>
      </c>
      <c r="N87" s="19" t="n">
        <f aca="false">N86+I87*Допущения!$B$18</f>
        <v>0.209170699630221</v>
      </c>
      <c r="O87" s="19" t="n">
        <f aca="false">O86+G87+H87+I87</f>
        <v>6.78582730881512</v>
      </c>
      <c r="P87" s="17" t="n">
        <f aca="false">P86+F87</f>
        <v>0.0863669094527458</v>
      </c>
      <c r="Q87" s="6" t="n">
        <f aca="false">MIN(MATCH(A87,$S$3:$X$3,1),5)</f>
        <v>3</v>
      </c>
    </row>
    <row r="88" customFormat="false" ht="15" hidden="false" customHeight="false" outlineLevel="0" collapsed="false">
      <c r="A88" s="6" t="n">
        <v>81</v>
      </c>
      <c r="B88" s="14" t="n">
        <f aca="false">INDEX($S$4:$X$4,Q88)*(INDEX($S$4:$X$4,Q88+1)/INDEX($S$4:$X$4,Q88))^((LN(A88)-LN(INDEX($S$3:$X$3,Q88)))/(LN(INDEX($S$3:$X$3,Q88+1))-LN(INDEX($S$3:$X$3,Q88))))</f>
        <v>0.023802180078746</v>
      </c>
      <c r="C88" s="33" t="n">
        <f aca="false">C87+B88</f>
        <v>5.54394367445493</v>
      </c>
      <c r="D88" s="36" t="n">
        <f aca="false">Допущения!$B$19*(1-EXP(-Допущения!$B$26*(A88+1)))</f>
        <v>0.00999817379825337</v>
      </c>
      <c r="E88" s="37" t="n">
        <f aca="false">D88-D87</f>
        <v>2.02132963660409E-007</v>
      </c>
      <c r="F88" s="37" t="n">
        <f aca="false">D88*MIN(1,B88*Допущения!$B$21)</f>
        <v>0.000594945833011565</v>
      </c>
      <c r="G88" s="17" t="n">
        <f aca="false">((B88-F88*Допущения!$B$23)*Допущения!$B$13*Допущения!$B$15+B88*Допущения!$B$14*Допущения!$B$16)/1000</f>
        <v>0.0234130203025821</v>
      </c>
      <c r="H88" s="17" t="n">
        <f aca="false">E88*Допущения!$B$27</f>
        <v>1.88994321022483E-005</v>
      </c>
      <c r="I88" s="17" t="n">
        <f aca="false">F88*Допущения!$B$22/30*Допущения!$B$28</f>
        <v>0.00288178046248608</v>
      </c>
      <c r="J88" s="17" t="n">
        <f aca="false">G88*Допущения!$B$17+(H88+I88)*Допущения!$B$18</f>
        <v>0.0131568500985852</v>
      </c>
      <c r="K88" s="19" t="n">
        <f aca="false">K87+J88</f>
        <v>3.40607050450614</v>
      </c>
      <c r="L88" s="19" t="n">
        <f aca="false">L87+G88*Допущения!$B$17</f>
        <v>2.72804428957634</v>
      </c>
      <c r="M88" s="19" t="n">
        <f aca="false">M87+H88*Допущения!$B$18</f>
        <v>0.467414625068345</v>
      </c>
      <c r="N88" s="19" t="n">
        <f aca="false">N87+I88*Допущения!$B$18</f>
        <v>0.210611589861464</v>
      </c>
      <c r="O88" s="19" t="n">
        <f aca="false">O87+G88+H88+I88</f>
        <v>6.81214100901229</v>
      </c>
      <c r="P88" s="17" t="n">
        <f aca="false">P87+F88</f>
        <v>0.0869618552857573</v>
      </c>
      <c r="Q88" s="6" t="n">
        <f aca="false">MIN(MATCH(A88,$S$3:$X$3,1),5)</f>
        <v>3</v>
      </c>
    </row>
    <row r="89" customFormat="false" ht="15" hidden="false" customHeight="false" outlineLevel="0" collapsed="false">
      <c r="A89" s="6" t="n">
        <v>82</v>
      </c>
      <c r="B89" s="14" t="n">
        <f aca="false">INDEX($S$4:$X$4,Q89)*(INDEX($S$4:$X$4,Q89+1)/INDEX($S$4:$X$4,Q89))^((LN(A89)-LN(INDEX($S$3:$X$3,Q89)))/(LN(INDEX($S$3:$X$3,Q89+1))-LN(INDEX($S$3:$X$3,Q89))))</f>
        <v>0.0235849282573085</v>
      </c>
      <c r="C89" s="33" t="n">
        <f aca="false">C88+B89</f>
        <v>5.56752860271224</v>
      </c>
      <c r="D89" s="36" t="n">
        <f aca="false">Допущения!$B$19*(1-EXP(-Допущения!$B$26*(A89+1)))</f>
        <v>0.00999835578772947</v>
      </c>
      <c r="E89" s="37" t="n">
        <f aca="false">D89-D88</f>
        <v>1.81989476103622E-007</v>
      </c>
      <c r="F89" s="37" t="n">
        <f aca="false">D89*MIN(1,B89*Допущения!$B$21)</f>
        <v>0.000589526259861613</v>
      </c>
      <c r="G89" s="17" t="n">
        <f aca="false">((B89-F89*Допущения!$B$23)*Допущения!$B$13*Допущения!$B$15+B89*Допущения!$B$14*Допущения!$B$16)/1000</f>
        <v>0.0231993199154164</v>
      </c>
      <c r="H89" s="17" t="n">
        <f aca="false">E89*Допущения!$B$27</f>
        <v>1.70160160156887E-005</v>
      </c>
      <c r="I89" s="17" t="n">
        <f aca="false">F89*Допущения!$B$22/30*Допущения!$B$28</f>
        <v>0.00285552929951971</v>
      </c>
      <c r="J89" s="17" t="n">
        <f aca="false">G89*Допущения!$B$17+(H89+I89)*Допущения!$B$18</f>
        <v>0.0130359326154759</v>
      </c>
      <c r="K89" s="19" t="n">
        <f aca="false">K88+J89</f>
        <v>3.41910643712162</v>
      </c>
      <c r="L89" s="19" t="n">
        <f aca="false">L88+G89*Допущения!$B$17</f>
        <v>2.73964394953404</v>
      </c>
      <c r="M89" s="19" t="n">
        <f aca="false">M88+H89*Допущения!$B$18</f>
        <v>0.467423133076353</v>
      </c>
      <c r="N89" s="19" t="n">
        <f aca="false">N88+I89*Допущения!$B$18</f>
        <v>0.212039354511224</v>
      </c>
      <c r="O89" s="19" t="n">
        <f aca="false">O88+G89+H89+I89</f>
        <v>6.83821287424324</v>
      </c>
      <c r="P89" s="17" t="n">
        <f aca="false">P88+F89</f>
        <v>0.087551381545619</v>
      </c>
      <c r="Q89" s="6" t="n">
        <f aca="false">MIN(MATCH(A89,$S$3:$X$3,1),5)</f>
        <v>3</v>
      </c>
    </row>
    <row r="90" customFormat="false" ht="15" hidden="false" customHeight="false" outlineLevel="0" collapsed="false">
      <c r="A90" s="6" t="n">
        <v>83</v>
      </c>
      <c r="B90" s="14" t="n">
        <f aca="false">INDEX($S$4:$X$4,Q90)*(INDEX($S$4:$X$4,Q90+1)/INDEX($S$4:$X$4,Q90))^((LN(A90)-LN(INDEX($S$3:$X$3,Q90)))/(LN(INDEX($S$3:$X$3,Q90+1))-LN(INDEX($S$3:$X$3,Q90))))</f>
        <v>0.0233722569619023</v>
      </c>
      <c r="C90" s="33" t="n">
        <f aca="false">C89+B90</f>
        <v>5.59090085967414</v>
      </c>
      <c r="D90" s="36" t="n">
        <f aca="false">Допущения!$B$19*(1-EXP(-Допущения!$B$26*(A90+1)))</f>
        <v>0.00999851964111</v>
      </c>
      <c r="E90" s="37" t="n">
        <f aca="false">D90-D89</f>
        <v>1.63853380530377E-007</v>
      </c>
      <c r="F90" s="37" t="n">
        <f aca="false">D90*MIN(1,B90*Допущения!$B$21)</f>
        <v>0.000584219925726625</v>
      </c>
      <c r="G90" s="17" t="n">
        <f aca="false">((B90-F90*Допущения!$B$23)*Допущения!$B$13*Допущения!$B$15+B90*Допущения!$B$14*Допущения!$B$16)/1000</f>
        <v>0.0229901252314845</v>
      </c>
      <c r="H90" s="17" t="n">
        <f aca="false">E90*Допущения!$B$27</f>
        <v>1.53202910795902E-005</v>
      </c>
      <c r="I90" s="17" t="n">
        <f aca="false">F90*Допущения!$B$22/30*Допущения!$B$28</f>
        <v>0.00282982664023689</v>
      </c>
      <c r="J90" s="17" t="n">
        <f aca="false">G90*Допущения!$B$17+(H90+I90)*Допущения!$B$18</f>
        <v>0.0129176360814005</v>
      </c>
      <c r="K90" s="19" t="n">
        <f aca="false">K89+J90</f>
        <v>3.43202407320302</v>
      </c>
      <c r="L90" s="19" t="n">
        <f aca="false">L89+G90*Допущения!$B$17</f>
        <v>2.75113901214979</v>
      </c>
      <c r="M90" s="19" t="n">
        <f aca="false">M89+H90*Допущения!$B$18</f>
        <v>0.467430793221892</v>
      </c>
      <c r="N90" s="19" t="n">
        <f aca="false">N89+I90*Допущения!$B$18</f>
        <v>0.213454267831342</v>
      </c>
      <c r="O90" s="19" t="n">
        <f aca="false">O89+G90+H90+I90</f>
        <v>6.86404814640604</v>
      </c>
      <c r="P90" s="17" t="n">
        <f aca="false">P89+F90</f>
        <v>0.0881356014713456</v>
      </c>
      <c r="Q90" s="6" t="n">
        <f aca="false">MIN(MATCH(A90,$S$3:$X$3,1),5)</f>
        <v>3</v>
      </c>
    </row>
    <row r="91" customFormat="false" ht="15" hidden="false" customHeight="false" outlineLevel="0" collapsed="false">
      <c r="A91" s="6" t="n">
        <v>84</v>
      </c>
      <c r="B91" s="14" t="n">
        <f aca="false">INDEX($S$4:$X$4,Q91)*(INDEX($S$4:$X$4,Q91+1)/INDEX($S$4:$X$4,Q91))^((LN(A91)-LN(INDEX($S$3:$X$3,Q91)))/(LN(INDEX($S$3:$X$3,Q91+1))-LN(INDEX($S$3:$X$3,Q91))))</f>
        <v>0.0231640161552772</v>
      </c>
      <c r="C91" s="33" t="n">
        <f aca="false">C90+B91</f>
        <v>5.61406487582942</v>
      </c>
      <c r="D91" s="36" t="n">
        <f aca="false">Допущения!$B$19*(1-EXP(-Допущения!$B$26*(A91+1)))</f>
        <v>0.00999866716574102</v>
      </c>
      <c r="E91" s="37" t="n">
        <f aca="false">D91-D90</f>
        <v>1.47524631018137E-007</v>
      </c>
      <c r="F91" s="37" t="n">
        <f aca="false">D91*MIN(1,B91*Допущения!$B$21)</f>
        <v>0.000579023219396162</v>
      </c>
      <c r="G91" s="17" t="n">
        <f aca="false">((B91-F91*Допущения!$B$23)*Допущения!$B$13*Допущения!$B$15+B91*Допущения!$B$14*Допущения!$B$16)/1000</f>
        <v>0.0227852886591007</v>
      </c>
      <c r="H91" s="17" t="n">
        <f aca="false">E91*Допущения!$B$27</f>
        <v>1.37935530001958E-005</v>
      </c>
      <c r="I91" s="17" t="n">
        <f aca="false">F91*Допущения!$B$22/30*Допущения!$B$28</f>
        <v>0.00280465499276674</v>
      </c>
      <c r="J91" s="17" t="n">
        <f aca="false">G91*Допущения!$B$17+(H91+I91)*Допущения!$B$18</f>
        <v>0.0128018686024338</v>
      </c>
      <c r="K91" s="19" t="n">
        <f aca="false">K90+J91</f>
        <v>3.44482594180545</v>
      </c>
      <c r="L91" s="19" t="n">
        <f aca="false">L90+G91*Допущения!$B$17</f>
        <v>2.76253165647934</v>
      </c>
      <c r="M91" s="19" t="n">
        <f aca="false">M90+H91*Допущения!$B$18</f>
        <v>0.467437689998393</v>
      </c>
      <c r="N91" s="19" t="n">
        <f aca="false">N90+I91*Допущения!$B$18</f>
        <v>0.214856595327725</v>
      </c>
      <c r="O91" s="19" t="n">
        <f aca="false">O90+G91+H91+I91</f>
        <v>6.88965188361091</v>
      </c>
      <c r="P91" s="17" t="n">
        <f aca="false">P90+F91</f>
        <v>0.0887146246907418</v>
      </c>
      <c r="Q91" s="6" t="n">
        <f aca="false">MIN(MATCH(A91,$S$3:$X$3,1),5)</f>
        <v>3</v>
      </c>
    </row>
    <row r="92" customFormat="false" ht="15" hidden="false" customHeight="false" outlineLevel="0" collapsed="false">
      <c r="A92" s="6" t="n">
        <v>85</v>
      </c>
      <c r="B92" s="14" t="n">
        <f aca="false">INDEX($S$4:$X$4,Q92)*(INDEX($S$4:$X$4,Q92+1)/INDEX($S$4:$X$4,Q92))^((LN(A92)-LN(INDEX($S$3:$X$3,Q92)))/(LN(INDEX($S$3:$X$3,Q92+1))-LN(INDEX($S$3:$X$3,Q92))))</f>
        <v>0.0229600624246292</v>
      </c>
      <c r="C92" s="33" t="n">
        <f aca="false">C91+B92</f>
        <v>5.63702493825405</v>
      </c>
      <c r="D92" s="36" t="n">
        <f aca="false">Допущения!$B$19*(1-EXP(-Допущения!$B$26*(A92+1)))</f>
        <v>0.00999879998885816</v>
      </c>
      <c r="E92" s="37" t="n">
        <f aca="false">D92-D91</f>
        <v>1.32823117145534E-007</v>
      </c>
      <c r="F92" s="37" t="n">
        <f aca="false">D92*MIN(1,B92*Допущения!$B$21)</f>
        <v>0.000573932679788912</v>
      </c>
      <c r="G92" s="17" t="n">
        <f aca="false">((B92-F92*Допущения!$B$23)*Допущения!$B$13*Допущения!$B$15+B92*Допущения!$B$14*Допущения!$B$16)/1000</f>
        <v>0.0225846691235511</v>
      </c>
      <c r="H92" s="17" t="n">
        <f aca="false">E92*Допущения!$B$27</f>
        <v>1.24189614531074E-005</v>
      </c>
      <c r="I92" s="17" t="n">
        <f aca="false">F92*Допущения!$B$22/30*Допущения!$B$28</f>
        <v>0.00277999759242925</v>
      </c>
      <c r="J92" s="17" t="n">
        <f aca="false">G92*Допущения!$B$17+(H92+I92)*Допущения!$B$18</f>
        <v>0.0126885428387167</v>
      </c>
      <c r="K92" s="19" t="n">
        <f aca="false">K91+J92</f>
        <v>3.45751448464417</v>
      </c>
      <c r="L92" s="19" t="n">
        <f aca="false">L91+G92*Допущения!$B$17</f>
        <v>2.77382399104111</v>
      </c>
      <c r="M92" s="19" t="n">
        <f aca="false">M91+H92*Допущения!$B$18</f>
        <v>0.467443899479119</v>
      </c>
      <c r="N92" s="19" t="n">
        <f aca="false">N91+I92*Допущения!$B$18</f>
        <v>0.21624659412394</v>
      </c>
      <c r="O92" s="19" t="n">
        <f aca="false">O91+G92+H92+I92</f>
        <v>6.91502896928835</v>
      </c>
      <c r="P92" s="17" t="n">
        <f aca="false">P91+F92</f>
        <v>0.0892885573705307</v>
      </c>
      <c r="Q92" s="6" t="n">
        <f aca="false">MIN(MATCH(A92,$S$3:$X$3,1),5)</f>
        <v>3</v>
      </c>
    </row>
    <row r="93" customFormat="false" ht="15" hidden="false" customHeight="false" outlineLevel="0" collapsed="false">
      <c r="A93" s="6" t="n">
        <v>86</v>
      </c>
      <c r="B93" s="14" t="n">
        <f aca="false">INDEX($S$4:$X$4,Q93)*(INDEX($S$4:$X$4,Q93+1)/INDEX($S$4:$X$4,Q93))^((LN(A93)-LN(INDEX($S$3:$X$3,Q93)))/(LN(INDEX($S$3:$X$3,Q93+1))-LN(INDEX($S$3:$X$3,Q93))))</f>
        <v>0.0227602586153796</v>
      </c>
      <c r="C93" s="33" t="n">
        <f aca="false">C92+B93</f>
        <v>5.65978519686943</v>
      </c>
      <c r="D93" s="36" t="n">
        <f aca="false">Допущения!$B$19*(1-EXP(-Допущения!$B$26*(A93+1)))</f>
        <v>0.0099989195755355</v>
      </c>
      <c r="E93" s="37" t="n">
        <f aca="false">D93-D92</f>
        <v>1.19586677334999E-007</v>
      </c>
      <c r="F93" s="37" t="n">
        <f aca="false">D93*MIN(1,B93*Допущения!$B$21)</f>
        <v>0.000568944988533923</v>
      </c>
      <c r="G93" s="17" t="n">
        <f aca="false">((B93-F93*Допущения!$B$23)*Допущения!$B$13*Допущения!$B$15+B93*Допущения!$B$14*Допущения!$B$16)/1000</f>
        <v>0.0223881317067681</v>
      </c>
      <c r="H93" s="17" t="n">
        <f aca="false">E93*Допущения!$B$27</f>
        <v>1.11813543308224E-005</v>
      </c>
      <c r="I93" s="17" t="n">
        <f aca="false">F93*Допущения!$B$22/30*Допущения!$B$28</f>
        <v>0.00275583836580053</v>
      </c>
      <c r="J93" s="17" t="n">
        <f aca="false">G93*Допущения!$B$17+(H93+I93)*Допущения!$B$18</f>
        <v>0.0125775757134497</v>
      </c>
      <c r="K93" s="19" t="n">
        <f aca="false">K92+J93</f>
        <v>3.47009206035762</v>
      </c>
      <c r="L93" s="19" t="n">
        <f aca="false">L92+G93*Допущения!$B$17</f>
        <v>2.7850180568945</v>
      </c>
      <c r="M93" s="19" t="n">
        <f aca="false">M92+H93*Допущения!$B$18</f>
        <v>0.467449490156285</v>
      </c>
      <c r="N93" s="19" t="n">
        <f aca="false">N92+I93*Допущения!$B$18</f>
        <v>0.21762451330684</v>
      </c>
      <c r="O93" s="19" t="n">
        <f aca="false">O92+G93+H93+I93</f>
        <v>6.94018412071524</v>
      </c>
      <c r="P93" s="17" t="n">
        <f aca="false">P92+F93</f>
        <v>0.0898575023590646</v>
      </c>
      <c r="Q93" s="6" t="n">
        <f aca="false">MIN(MATCH(A93,$S$3:$X$3,1),5)</f>
        <v>3</v>
      </c>
    </row>
    <row r="94" customFormat="false" ht="15" hidden="false" customHeight="false" outlineLevel="0" collapsed="false">
      <c r="A94" s="6" t="n">
        <v>87</v>
      </c>
      <c r="B94" s="14" t="n">
        <f aca="false">INDEX($S$4:$X$4,Q94)*(INDEX($S$4:$X$4,Q94+1)/INDEX($S$4:$X$4,Q94))^((LN(A94)-LN(INDEX($S$3:$X$3,Q94)))/(LN(INDEX($S$3:$X$3,Q94+1))-LN(INDEX($S$3:$X$3,Q94))))</f>
        <v>0.0225644734891833</v>
      </c>
      <c r="C94" s="33" t="n">
        <f aca="false">C93+B94</f>
        <v>5.68234967035861</v>
      </c>
      <c r="D94" s="36" t="n">
        <f aca="false">Допущения!$B$19*(1-EXP(-Допущения!$B$26*(A94+1)))</f>
        <v>0.00999902724484565</v>
      </c>
      <c r="E94" s="37" t="n">
        <f aca="false">D94-D93</f>
        <v>1.07669310155101E-007</v>
      </c>
      <c r="F94" s="37" t="n">
        <f aca="false">D94*MIN(1,B94*Допущения!$B$21)</f>
        <v>0.000564056962959854</v>
      </c>
      <c r="G94" s="17" t="n">
        <f aca="false">((B94-F94*Допущения!$B$23)*Допущения!$B$13*Допущения!$B$15+B94*Допущения!$B$14*Допущения!$B$16)/1000</f>
        <v>0.0221955473108458</v>
      </c>
      <c r="H94" s="17" t="n">
        <f aca="false">E94*Допущения!$B$27</f>
        <v>1.00670804995019E-005</v>
      </c>
      <c r="I94" s="17" t="n">
        <f aca="false">F94*Допущения!$B$22/30*Допущения!$B$28</f>
        <v>0.0027321618967543</v>
      </c>
      <c r="J94" s="17" t="n">
        <f aca="false">G94*Допущения!$B$17+(H94+I94)*Допущения!$B$18</f>
        <v>0.0124688881440498</v>
      </c>
      <c r="K94" s="19" t="n">
        <f aca="false">K93+J94</f>
        <v>3.48256094850167</v>
      </c>
      <c r="L94" s="19" t="n">
        <f aca="false">L93+G94*Допущения!$B$17</f>
        <v>2.79611583054992</v>
      </c>
      <c r="M94" s="19" t="n">
        <f aca="false">M93+H94*Допущения!$B$18</f>
        <v>0.467454523696534</v>
      </c>
      <c r="N94" s="19" t="n">
        <f aca="false">N93+I94*Допущения!$B$18</f>
        <v>0.218990594255217</v>
      </c>
      <c r="O94" s="19" t="n">
        <f aca="false">O93+G94+H94+I94</f>
        <v>6.96512189700334</v>
      </c>
      <c r="P94" s="17" t="n">
        <f aca="false">P93+F94</f>
        <v>0.0904215593220244</v>
      </c>
      <c r="Q94" s="6" t="n">
        <f aca="false">MIN(MATCH(A94,$S$3:$X$3,1),5)</f>
        <v>3</v>
      </c>
    </row>
    <row r="95" customFormat="false" ht="15" hidden="false" customHeight="false" outlineLevel="0" collapsed="false">
      <c r="A95" s="6" t="n">
        <v>88</v>
      </c>
      <c r="B95" s="14" t="n">
        <f aca="false">INDEX($S$4:$X$4,Q95)*(INDEX($S$4:$X$4,Q95+1)/INDEX($S$4:$X$4,Q95))^((LN(A95)-LN(INDEX($S$3:$X$3,Q95)))/(LN(INDEX($S$3:$X$3,Q95+1))-LN(INDEX($S$3:$X$3,Q95))))</f>
        <v>0.0223725814043049</v>
      </c>
      <c r="C95" s="33" t="n">
        <f aca="false">C94+B95</f>
        <v>5.70472225176292</v>
      </c>
      <c r="D95" s="36" t="n">
        <f aca="false">Допущения!$B$19*(1-EXP(-Допущения!$B$26*(A95+1)))</f>
        <v>0.00999912418440956</v>
      </c>
      <c r="E95" s="37" t="n">
        <f aca="false">D95-D94</f>
        <v>9.69395639021514E-008</v>
      </c>
      <c r="F95" s="37" t="n">
        <f aca="false">D95*MIN(1,B95*Допущения!$B$21)</f>
        <v>0.000559265549468641</v>
      </c>
      <c r="G95" s="17" t="n">
        <f aca="false">((B95-F95*Допущения!$B$23)*Допущения!$B$13*Допущения!$B$15+B95*Допущения!$B$14*Допущения!$B$16)/1000</f>
        <v>0.022006792343569</v>
      </c>
      <c r="H95" s="17" t="n">
        <f aca="false">E95*Допущения!$B$27</f>
        <v>9.06384922485116E-006</v>
      </c>
      <c r="I95" s="17" t="n">
        <f aca="false">F95*Допущения!$B$22/30*Допущения!$B$28</f>
        <v>0.00270895339436547</v>
      </c>
      <c r="J95" s="17" t="n">
        <f aca="false">G95*Допущения!$B$17+(H95+I95)*Допущения!$B$18</f>
        <v>0.0123624047935797</v>
      </c>
      <c r="K95" s="19" t="n">
        <f aca="false">K94+J95</f>
        <v>3.49492335329525</v>
      </c>
      <c r="L95" s="19" t="n">
        <f aca="false">L94+G95*Допущения!$B$17</f>
        <v>2.8071192267217</v>
      </c>
      <c r="M95" s="19" t="n">
        <f aca="false">M94+H95*Допущения!$B$18</f>
        <v>0.467459055621147</v>
      </c>
      <c r="N95" s="19" t="n">
        <f aca="false">N94+I95*Допущения!$B$18</f>
        <v>0.2203450709524</v>
      </c>
      <c r="O95" s="19" t="n">
        <f aca="false">O94+G95+H95+I95</f>
        <v>6.9898467065905</v>
      </c>
      <c r="P95" s="17" t="n">
        <f aca="false">P94+F95</f>
        <v>0.0909808248714931</v>
      </c>
      <c r="Q95" s="6" t="n">
        <f aca="false">MIN(MATCH(A95,$S$3:$X$3,1),5)</f>
        <v>3</v>
      </c>
    </row>
    <row r="96" customFormat="false" ht="15" hidden="false" customHeight="false" outlineLevel="0" collapsed="false">
      <c r="A96" s="6" t="n">
        <v>89</v>
      </c>
      <c r="B96" s="14" t="n">
        <f aca="false">INDEX($S$4:$X$4,Q96)*(INDEX($S$4:$X$4,Q96+1)/INDEX($S$4:$X$4,Q96))^((LN(A96)-LN(INDEX($S$3:$X$3,Q96)))/(LN(INDEX($S$3:$X$3,Q96+1))-LN(INDEX($S$3:$X$3,Q96))))</f>
        <v>0.022184462016664</v>
      </c>
      <c r="C96" s="33" t="n">
        <f aca="false">C95+B96</f>
        <v>5.72690671377958</v>
      </c>
      <c r="D96" s="36" t="n">
        <f aca="false">Допущения!$B$19*(1-EXP(-Допущения!$B$26*(A96+1)))</f>
        <v>0.0099992114634962</v>
      </c>
      <c r="E96" s="37" t="n">
        <f aca="false">D96-D95</f>
        <v>8.72790866419948E-008</v>
      </c>
      <c r="F96" s="37" t="n">
        <f aca="false">D96*MIN(1,B96*Допущения!$B$21)</f>
        <v>0.000554567817271307</v>
      </c>
      <c r="G96" s="17" t="n">
        <f aca="false">((B96-F96*Допущения!$B$23)*Допущения!$B$13*Допущения!$B$15+B96*Допущения!$B$14*Допущения!$B$16)/1000</f>
        <v>0.0218217484242814</v>
      </c>
      <c r="H96" s="17" t="n">
        <f aca="false">E96*Допущения!$B$27</f>
        <v>8.16059460102651E-006</v>
      </c>
      <c r="I96" s="17" t="n">
        <f aca="false">F96*Допущения!$B$22/30*Допущения!$B$28</f>
        <v>0.00268619866256789</v>
      </c>
      <c r="J96" s="17" t="n">
        <f aca="false">G96*Допущения!$B$17+(H96+I96)*Допущения!$B$18</f>
        <v>0.0122580538407252</v>
      </c>
      <c r="K96" s="19" t="n">
        <f aca="false">K95+J96</f>
        <v>3.50718140713598</v>
      </c>
      <c r="L96" s="19" t="n">
        <f aca="false">L95+G96*Допущения!$B$17</f>
        <v>2.81803010093384</v>
      </c>
      <c r="M96" s="19" t="n">
        <f aca="false">M95+H96*Допущения!$B$18</f>
        <v>0.467463135918447</v>
      </c>
      <c r="N96" s="19" t="n">
        <f aca="false">N95+I96*Допущения!$B$18</f>
        <v>0.221688170283684</v>
      </c>
      <c r="O96" s="19" t="n">
        <f aca="false">O95+G96+H96+I96</f>
        <v>7.01436281427195</v>
      </c>
      <c r="P96" s="17" t="n">
        <f aca="false">P95+F96</f>
        <v>0.0915353926887644</v>
      </c>
      <c r="Q96" s="6" t="n">
        <f aca="false">MIN(MATCH(A96,$S$3:$X$3,1),5)</f>
        <v>3</v>
      </c>
    </row>
    <row r="97" customFormat="false" ht="15" hidden="false" customHeight="false" outlineLevel="0" collapsed="false">
      <c r="A97" s="6" t="n">
        <v>90</v>
      </c>
      <c r="B97" s="14" t="n">
        <f aca="false">INDEX($S$4:$X$4,Q97)*(INDEX($S$4:$X$4,Q97+1)/INDEX($S$4:$X$4,Q97))^((LN(A97)-LN(INDEX($S$3:$X$3,Q97)))/(LN(INDEX($S$3:$X$3,Q97+1))-LN(INDEX($S$3:$X$3,Q97))))</f>
        <v>0.022</v>
      </c>
      <c r="C97" s="33" t="n">
        <f aca="false">C96+B97</f>
        <v>5.74890671377958</v>
      </c>
      <c r="D97" s="36" t="n">
        <f aca="false">Допущения!$B$19*(1-EXP(-Допущения!$B$26*(A97+1)))</f>
        <v>0.00999929004481695</v>
      </c>
      <c r="E97" s="37" t="n">
        <f aca="false">D97-D96</f>
        <v>7.85813207542646E-008</v>
      </c>
      <c r="F97" s="37" t="n">
        <f aca="false">D97*MIN(1,B97*Допущения!$B$21)</f>
        <v>0.000549960952464932</v>
      </c>
      <c r="G97" s="17" t="n">
        <f aca="false">((B97-F97*Допущения!$B$23)*Допущения!$B$13*Допущения!$B$15+B97*Допущения!$B$14*Допущения!$B$16)/1000</f>
        <v>0.0216403021085669</v>
      </c>
      <c r="H97" s="17" t="n">
        <f aca="false">E97*Допущения!$B$27</f>
        <v>7.34735349052374E-006</v>
      </c>
      <c r="I97" s="17" t="n">
        <f aca="false">F97*Допущения!$B$22/30*Допущения!$B$28</f>
        <v>0.00266388407146449</v>
      </c>
      <c r="J97" s="17" t="n">
        <f aca="false">G97*Допущения!$B$17+(H97+I97)*Допущения!$B$18</f>
        <v>0.012155766766761</v>
      </c>
      <c r="K97" s="19" t="n">
        <f aca="false">K96+J97</f>
        <v>3.51933717390274</v>
      </c>
      <c r="L97" s="19" t="n">
        <f aca="false">L96+G97*Допущения!$B$17</f>
        <v>2.82885025198813</v>
      </c>
      <c r="M97" s="19" t="n">
        <f aca="false">M96+H97*Допущения!$B$18</f>
        <v>0.467466809595193</v>
      </c>
      <c r="N97" s="19" t="n">
        <f aca="false">N96+I97*Допущения!$B$18</f>
        <v>0.223020112319416</v>
      </c>
      <c r="O97" s="19" t="n">
        <f aca="false">O96+G97+H97+I97</f>
        <v>7.03867434780548</v>
      </c>
      <c r="P97" s="17" t="n">
        <f aca="false">P96+F97</f>
        <v>0.0920853536412293</v>
      </c>
      <c r="Q97" s="6" t="n">
        <f aca="false">MIN(MATCH(A97,$S$3:$X$3,1),5)</f>
        <v>4</v>
      </c>
    </row>
    <row r="98" customFormat="false" ht="15" hidden="false" customHeight="false" outlineLevel="0" collapsed="false">
      <c r="A98" s="6" t="n">
        <v>91</v>
      </c>
      <c r="B98" s="14" t="n">
        <f aca="false">INDEX($S$4:$X$4,Q98)*(INDEX($S$4:$X$4,Q98+1)/INDEX($S$4:$X$4,Q98))^((LN(A98)-LN(INDEX($S$3:$X$3,Q98)))/(LN(INDEX($S$3:$X$3,Q98+1))-LN(INDEX($S$3:$X$3,Q98))))</f>
        <v>0.0217884434629473</v>
      </c>
      <c r="C98" s="33" t="n">
        <f aca="false">C97+B98</f>
        <v>5.77069515724253</v>
      </c>
      <c r="D98" s="36" t="n">
        <f aca="false">Допущения!$B$19*(1-EXP(-Допущения!$B$26*(A98+1)))</f>
        <v>0.00999936079514454</v>
      </c>
      <c r="E98" s="37" t="n">
        <f aca="false">D98-D97</f>
        <v>7.07503275913096E-008</v>
      </c>
      <c r="F98" s="37" t="n">
        <f aca="false">D98*MIN(1,B98*Допущения!$B$21)</f>
        <v>0.000544676268376548</v>
      </c>
      <c r="G98" s="17" t="n">
        <f aca="false">((B98-F98*Допущения!$B$23)*Допущения!$B$13*Допущения!$B$15+B98*Допущения!$B$14*Допущения!$B$16)/1000</f>
        <v>0.0214322042925108</v>
      </c>
      <c r="H98" s="17" t="n">
        <f aca="false">E98*Допущения!$B$27</f>
        <v>6.61515562978745E-006</v>
      </c>
      <c r="I98" s="17" t="n">
        <f aca="false">F98*Допущения!$B$22/30*Допущения!$B$28</f>
        <v>0.00263828628001643</v>
      </c>
      <c r="J98" s="17" t="n">
        <f aca="false">G98*Допущения!$B$17+(H98+I98)*Допущения!$B$18</f>
        <v>0.0120385528640785</v>
      </c>
      <c r="K98" s="19" t="n">
        <f aca="false">K97+J98</f>
        <v>3.53137572676682</v>
      </c>
      <c r="L98" s="19" t="n">
        <f aca="false">L97+G98*Допущения!$B$17</f>
        <v>2.83956635413438</v>
      </c>
      <c r="M98" s="19" t="n">
        <f aca="false">M97+H98*Допущения!$B$18</f>
        <v>0.467470117173007</v>
      </c>
      <c r="N98" s="19" t="n">
        <f aca="false">N97+I98*Допущения!$B$18</f>
        <v>0.224339255459425</v>
      </c>
      <c r="O98" s="19" t="n">
        <f aca="false">O97+G98+H98+I98</f>
        <v>7.06275145353363</v>
      </c>
      <c r="P98" s="17" t="n">
        <f aca="false">P97+F98</f>
        <v>0.0926300299096059</v>
      </c>
      <c r="Q98" s="6" t="n">
        <f aca="false">MIN(MATCH(A98,$S$3:$X$3,1),5)</f>
        <v>4</v>
      </c>
    </row>
    <row r="99" customFormat="false" ht="15" hidden="false" customHeight="false" outlineLevel="0" collapsed="false">
      <c r="A99" s="6" t="n">
        <v>92</v>
      </c>
      <c r="B99" s="14" t="n">
        <f aca="false">INDEX($S$4:$X$4,Q99)*(INDEX($S$4:$X$4,Q99+1)/INDEX($S$4:$X$4,Q99))^((LN(A99)-LN(INDEX($S$3:$X$3,Q99)))/(LN(INDEX($S$3:$X$3,Q99+1))-LN(INDEX($S$3:$X$3,Q99))))</f>
        <v>0.0215812002775268</v>
      </c>
      <c r="C99" s="33" t="n">
        <f aca="false">C98+B99</f>
        <v>5.79227635752005</v>
      </c>
      <c r="D99" s="36" t="n">
        <f aca="false">Допущения!$B$19*(1-EXP(-Допущения!$B$26*(A99+1)))</f>
        <v>0.00999942449487377</v>
      </c>
      <c r="E99" s="37" t="n">
        <f aca="false">D99-D98</f>
        <v>6.36997292222802E-008</v>
      </c>
      <c r="F99" s="37" t="n">
        <f aca="false">D99*MIN(1,B99*Допущения!$B$21)</f>
        <v>0.000539498956709694</v>
      </c>
      <c r="G99" s="17" t="n">
        <f aca="false">((B99-F99*Допущения!$B$23)*Допущения!$B$13*Допущения!$B$15+B99*Допущения!$B$14*Допущения!$B$16)/1000</f>
        <v>0.0212283493297015</v>
      </c>
      <c r="H99" s="17" t="n">
        <f aca="false">E99*Допущения!$B$27</f>
        <v>5.9559246822832E-006</v>
      </c>
      <c r="I99" s="17" t="n">
        <f aca="false">F99*Допущения!$B$22/30*Допущения!$B$28</f>
        <v>0.00261320857582576</v>
      </c>
      <c r="J99" s="17" t="n">
        <f aca="false">G99*Допущения!$B$17+(H99+I99)*Допущения!$B$18</f>
        <v>0.0119237569151048</v>
      </c>
      <c r="K99" s="19" t="n">
        <f aca="false">K98+J99</f>
        <v>3.54329948368192</v>
      </c>
      <c r="L99" s="19" t="n">
        <f aca="false">L98+G99*Допущения!$B$17</f>
        <v>2.85018052879923</v>
      </c>
      <c r="M99" s="19" t="n">
        <f aca="false">M98+H99*Допущения!$B$18</f>
        <v>0.467473095135349</v>
      </c>
      <c r="N99" s="19" t="n">
        <f aca="false">N98+I99*Допущения!$B$18</f>
        <v>0.225645859747337</v>
      </c>
      <c r="O99" s="19" t="n">
        <f aca="false">O98+G99+H99+I99</f>
        <v>7.08659896736384</v>
      </c>
      <c r="P99" s="17" t="n">
        <f aca="false">P98+F99</f>
        <v>0.0931695288663156</v>
      </c>
      <c r="Q99" s="6" t="n">
        <f aca="false">MIN(MATCH(A99,$S$3:$X$3,1),5)</f>
        <v>4</v>
      </c>
    </row>
    <row r="100" customFormat="false" ht="15" hidden="false" customHeight="false" outlineLevel="0" collapsed="false">
      <c r="A100" s="6" t="n">
        <v>93</v>
      </c>
      <c r="B100" s="14" t="n">
        <f aca="false">INDEX($S$4:$X$4,Q100)*(INDEX($S$4:$X$4,Q100+1)/INDEX($S$4:$X$4,Q100))^((LN(A100)-LN(INDEX($S$3:$X$3,Q100)))/(LN(INDEX($S$3:$X$3,Q100+1))-LN(INDEX($S$3:$X$3,Q100))))</f>
        <v>0.0213781370348283</v>
      </c>
      <c r="C100" s="33" t="n">
        <f aca="false">C99+B100</f>
        <v>5.81365449455488</v>
      </c>
      <c r="D100" s="36" t="n">
        <f aca="false">Допущения!$B$19*(1-EXP(-Допущения!$B$26*(A100+1)))</f>
        <v>0.00999948184662946</v>
      </c>
      <c r="E100" s="37" t="n">
        <f aca="false">D100-D99</f>
        <v>5.73517556935049E-008</v>
      </c>
      <c r="F100" s="37" t="n">
        <f aca="false">D100*MIN(1,B100*Допущения!$B$21)</f>
        <v>0.000534425732986307</v>
      </c>
      <c r="G100" s="17" t="n">
        <f aca="false">((B100-F100*Допущения!$B$23)*Допущения!$B$13*Допущения!$B$15+B100*Допущения!$B$14*Допущения!$B$16)/1000</f>
        <v>0.0210286059897246</v>
      </c>
      <c r="H100" s="17" t="n">
        <f aca="false">E100*Допущения!$B$27</f>
        <v>5.36238915734271E-006</v>
      </c>
      <c r="I100" s="17" t="n">
        <f aca="false">F100*Допущения!$B$22/30*Допущения!$B$28</f>
        <v>0.00258863504963788</v>
      </c>
      <c r="J100" s="17" t="n">
        <f aca="false">G100*Допущения!$B$17+(H100+I100)*Допущения!$B$18</f>
        <v>0.0118113017142599</v>
      </c>
      <c r="K100" s="19" t="n">
        <f aca="false">K99+J100</f>
        <v>3.55511078539618</v>
      </c>
      <c r="L100" s="19" t="n">
        <f aca="false">L99+G100*Допущения!$B$17</f>
        <v>2.8606948317941</v>
      </c>
      <c r="M100" s="19" t="n">
        <f aca="false">M99+H100*Допущения!$B$18</f>
        <v>0.467475776329927</v>
      </c>
      <c r="N100" s="19" t="n">
        <f aca="false">N99+I100*Допущения!$B$18</f>
        <v>0.226940177272156</v>
      </c>
      <c r="O100" s="19" t="n">
        <f aca="false">O99+G100+H100+I100</f>
        <v>7.11022157079236</v>
      </c>
      <c r="P100" s="17" t="n">
        <f aca="false">P99+F100</f>
        <v>0.0937039545993019</v>
      </c>
      <c r="Q100" s="6" t="n">
        <f aca="false">MIN(MATCH(A100,$S$3:$X$3,1),5)</f>
        <v>4</v>
      </c>
    </row>
    <row r="101" customFormat="false" ht="15" hidden="false" customHeight="false" outlineLevel="0" collapsed="false">
      <c r="A101" s="6" t="n">
        <v>94</v>
      </c>
      <c r="B101" s="14" t="n">
        <f aca="false">INDEX($S$4:$X$4,Q101)*(INDEX($S$4:$X$4,Q101+1)/INDEX($S$4:$X$4,Q101))^((LN(A101)-LN(INDEX($S$3:$X$3,Q101)))/(LN(INDEX($S$3:$X$3,Q101+1))-LN(INDEX($S$3:$X$3,Q101))))</f>
        <v>0.0211791258284645</v>
      </c>
      <c r="C101" s="33" t="n">
        <f aca="false">C100+B101</f>
        <v>5.83483362038335</v>
      </c>
      <c r="D101" s="36" t="n">
        <f aca="false">Допущения!$B$19*(1-EXP(-Допущения!$B$26*(A101+1)))</f>
        <v>0.00999953348301663</v>
      </c>
      <c r="E101" s="37" t="n">
        <f aca="false">D101-D100</f>
        <v>5.16363871730374E-008</v>
      </c>
      <c r="F101" s="37" t="n">
        <f aca="false">D101*MIN(1,B101*Допущения!$B$21)</f>
        <v>0.000529453444656884</v>
      </c>
      <c r="G101" s="17" t="n">
        <f aca="false">((B101-F101*Допущения!$B$23)*Допущения!$B$13*Допущения!$B$15+B101*Допущения!$B$14*Допущения!$B$16)/1000</f>
        <v>0.0208328484550261</v>
      </c>
      <c r="H101" s="17" t="n">
        <f aca="false">E101*Допущения!$B$27</f>
        <v>4.828002200679E-006</v>
      </c>
      <c r="I101" s="17" t="n">
        <f aca="false">F101*Допущения!$B$22/30*Допущения!$B$28</f>
        <v>0.00256455043122977</v>
      </c>
      <c r="J101" s="17" t="n">
        <f aca="false">G101*Допущения!$B$17+(H101+I101)*Допущения!$B$18</f>
        <v>0.0117011134442283</v>
      </c>
      <c r="K101" s="19" t="n">
        <f aca="false">K100+J101</f>
        <v>3.56681189884041</v>
      </c>
      <c r="L101" s="19" t="n">
        <f aca="false">L100+G101*Допущения!$B$17</f>
        <v>2.87111125602161</v>
      </c>
      <c r="M101" s="19" t="n">
        <f aca="false">M100+H101*Допущения!$B$18</f>
        <v>0.467478190331028</v>
      </c>
      <c r="N101" s="19" t="n">
        <f aca="false">N100+I101*Допущения!$B$18</f>
        <v>0.228222452487771</v>
      </c>
      <c r="O101" s="19" t="n">
        <f aca="false">O100+G101+H101+I101</f>
        <v>7.13362379768082</v>
      </c>
      <c r="P101" s="17" t="n">
        <f aca="false">P100+F101</f>
        <v>0.0942334080439587</v>
      </c>
      <c r="Q101" s="6" t="n">
        <f aca="false">MIN(MATCH(A101,$S$3:$X$3,1),5)</f>
        <v>4</v>
      </c>
    </row>
    <row r="102" customFormat="false" ht="15" hidden="false" customHeight="false" outlineLevel="0" collapsed="false">
      <c r="A102" s="6" t="n">
        <v>95</v>
      </c>
      <c r="B102" s="14" t="n">
        <f aca="false">INDEX($S$4:$X$4,Q102)*(INDEX($S$4:$X$4,Q102+1)/INDEX($S$4:$X$4,Q102))^((LN(A102)-LN(INDEX($S$3:$X$3,Q102)))/(LN(INDEX($S$3:$X$3,Q102+1))-LN(INDEX($S$3:$X$3,Q102))))</f>
        <v>0.0209840439720464</v>
      </c>
      <c r="C102" s="33" t="n">
        <f aca="false">C101+B102</f>
        <v>5.85581766435539</v>
      </c>
      <c r="D102" s="36" t="n">
        <f aca="false">Допущения!$B$19*(1-EXP(-Допущения!$B$26*(A102+1)))</f>
        <v>0.00999957997359828</v>
      </c>
      <c r="E102" s="37" t="n">
        <f aca="false">D102-D101</f>
        <v>4.64905816430911E-008</v>
      </c>
      <c r="F102" s="37" t="n">
        <f aca="false">D102*MIN(1,B102*Допущения!$B$21)</f>
        <v>0.000524579064669951</v>
      </c>
      <c r="G102" s="17" t="n">
        <f aca="false">((B102-F102*Допущения!$B$23)*Допущения!$B$13*Допущения!$B$15+B102*Допущения!$B$14*Допущения!$B$16)/1000</f>
        <v>0.0206409560429735</v>
      </c>
      <c r="H102" s="17" t="n">
        <f aca="false">E102*Допущения!$B$27</f>
        <v>4.34686938362901E-006</v>
      </c>
      <c r="I102" s="17" t="n">
        <f aca="false">F102*Допущения!$B$22/30*Допущения!$B$28</f>
        <v>0.00254094005826191</v>
      </c>
      <c r="J102" s="17" t="n">
        <f aca="false">G102*Допущения!$B$17+(H102+I102)*Допущения!$B$18</f>
        <v>0.0115931214853095</v>
      </c>
      <c r="K102" s="19" t="n">
        <f aca="false">K101+J102</f>
        <v>3.57840502032572</v>
      </c>
      <c r="L102" s="19" t="n">
        <f aca="false">L101+G102*Допущения!$B$17</f>
        <v>2.8814317340431</v>
      </c>
      <c r="M102" s="19" t="n">
        <f aca="false">M101+H102*Допущения!$B$18</f>
        <v>0.467480363765719</v>
      </c>
      <c r="N102" s="19" t="n">
        <f aca="false">N101+I102*Допущения!$B$18</f>
        <v>0.229492922516902</v>
      </c>
      <c r="O102" s="19" t="n">
        <f aca="false">O101+G102+H102+I102</f>
        <v>7.15681004065144</v>
      </c>
      <c r="P102" s="17" t="n">
        <f aca="false">P101+F102</f>
        <v>0.0947579871086287</v>
      </c>
      <c r="Q102" s="6" t="n">
        <f aca="false">MIN(MATCH(A102,$S$3:$X$3,1),5)</f>
        <v>4</v>
      </c>
    </row>
    <row r="103" customFormat="false" ht="15" hidden="false" customHeight="false" outlineLevel="0" collapsed="false">
      <c r="A103" s="6" t="n">
        <v>96</v>
      </c>
      <c r="B103" s="14" t="n">
        <f aca="false">INDEX($S$4:$X$4,Q103)*(INDEX($S$4:$X$4,Q103+1)/INDEX($S$4:$X$4,Q103))^((LN(A103)-LN(INDEX($S$3:$X$3,Q103)))/(LN(INDEX($S$3:$X$3,Q103+1))-LN(INDEX($S$3:$X$3,Q103))))</f>
        <v>0.0207927737339587</v>
      </c>
      <c r="C103" s="33" t="n">
        <f aca="false">C102+B103</f>
        <v>5.87661043808935</v>
      </c>
      <c r="D103" s="36" t="n">
        <f aca="false">Допущения!$B$19*(1-EXP(-Допущения!$B$26*(A103+1)))</f>
        <v>0.00999962183117778</v>
      </c>
      <c r="E103" s="37" t="n">
        <f aca="false">D103-D102</f>
        <v>4.18575795031739E-008</v>
      </c>
      <c r="F103" s="37" t="n">
        <f aca="false">D103*MIN(1,B103*Допущения!$B$21)</f>
        <v>0.000519799685402084</v>
      </c>
      <c r="G103" s="17" t="n">
        <f aca="false">((B103-F103*Допущения!$B$23)*Допущения!$B$13*Допущения!$B$15+B103*Допущения!$B$14*Допущения!$B$16)/1000</f>
        <v>0.0204528129449376</v>
      </c>
      <c r="H103" s="17" t="n">
        <f aca="false">E103*Допущения!$B$27</f>
        <v>3.91368368354676E-006</v>
      </c>
      <c r="I103" s="17" t="n">
        <f aca="false">F103*Допущения!$B$22/30*Допущения!$B$28</f>
        <v>0.00251778984687673</v>
      </c>
      <c r="J103" s="17" t="n">
        <f aca="false">G103*Допущения!$B$17+(H103+I103)*Допущения!$B$18</f>
        <v>0.011487258237749</v>
      </c>
      <c r="K103" s="19" t="n">
        <f aca="false">K102+J103</f>
        <v>3.58989227856347</v>
      </c>
      <c r="L103" s="19" t="n">
        <f aca="false">L102+G103*Допущения!$B$17</f>
        <v>2.89165814051557</v>
      </c>
      <c r="M103" s="19" t="n">
        <f aca="false">M102+H103*Допущения!$B$18</f>
        <v>0.467482320607561</v>
      </c>
      <c r="N103" s="19" t="n">
        <f aca="false">N102+I103*Допущения!$B$18</f>
        <v>0.230751817440341</v>
      </c>
      <c r="O103" s="19" t="n">
        <f aca="false">O102+G103+H103+I103</f>
        <v>7.17978455712694</v>
      </c>
      <c r="P103" s="17" t="n">
        <f aca="false">P102+F103</f>
        <v>0.0952777867940308</v>
      </c>
      <c r="Q103" s="6" t="n">
        <f aca="false">MIN(MATCH(A103,$S$3:$X$3,1),5)</f>
        <v>4</v>
      </c>
    </row>
    <row r="104" customFormat="false" ht="15" hidden="false" customHeight="false" outlineLevel="0" collapsed="false">
      <c r="A104" s="6" t="n">
        <v>97</v>
      </c>
      <c r="B104" s="14" t="n">
        <f aca="false">INDEX($S$4:$X$4,Q104)*(INDEX($S$4:$X$4,Q104+1)/INDEX($S$4:$X$4,Q104))^((LN(A104)-LN(INDEX($S$3:$X$3,Q104)))/(LN(INDEX($S$3:$X$3,Q104+1))-LN(INDEX($S$3:$X$3,Q104))))</f>
        <v>0.0206052020882091</v>
      </c>
      <c r="C104" s="33" t="n">
        <f aca="false">C103+B104</f>
        <v>5.89721564017756</v>
      </c>
      <c r="D104" s="36" t="n">
        <f aca="false">Допущения!$B$19*(1-EXP(-Допущения!$B$26*(A104+1)))</f>
        <v>0.0099996595174553</v>
      </c>
      <c r="E104" s="37" t="n">
        <f aca="false">D104-D103</f>
        <v>3.76862775222642E-008</v>
      </c>
      <c r="F104" s="37" t="n">
        <f aca="false">D104*MIN(1,B104*Допущения!$B$21)</f>
        <v>0.000515112512926124</v>
      </c>
      <c r="G104" s="17" t="n">
        <f aca="false">((B104-F104*Допущения!$B$23)*Допущения!$B$13*Допущения!$B$15+B104*Допущения!$B$14*Допущения!$B$16)/1000</f>
        <v>0.0202683079811879</v>
      </c>
      <c r="H104" s="17" t="n">
        <f aca="false">E104*Допущения!$B$27</f>
        <v>3.5236669483317E-006</v>
      </c>
      <c r="I104" s="17" t="n">
        <f aca="false">F104*Допущения!$B$22/30*Допущения!$B$28</f>
        <v>0.00249508626393515</v>
      </c>
      <c r="J104" s="17" t="n">
        <f aca="false">G104*Допущения!$B$17+(H104+I104)*Допущения!$B$18</f>
        <v>0.0113834589560357</v>
      </c>
      <c r="K104" s="19" t="n">
        <f aca="false">K103+J104</f>
        <v>3.6012757375195</v>
      </c>
      <c r="L104" s="19" t="n">
        <f aca="false">L103+G104*Допущения!$B$17</f>
        <v>2.90179229450616</v>
      </c>
      <c r="M104" s="19" t="n">
        <f aca="false">M103+H104*Допущения!$B$18</f>
        <v>0.467484082441035</v>
      </c>
      <c r="N104" s="19" t="n">
        <f aca="false">N103+I104*Допущения!$B$18</f>
        <v>0.231999360572308</v>
      </c>
      <c r="O104" s="19" t="n">
        <f aca="false">O103+G104+H104+I104</f>
        <v>7.20255147503901</v>
      </c>
      <c r="P104" s="17" t="n">
        <f aca="false">P103+F104</f>
        <v>0.0957928993069569</v>
      </c>
      <c r="Q104" s="6" t="n">
        <f aca="false">MIN(MATCH(A104,$S$3:$X$3,1),5)</f>
        <v>4</v>
      </c>
    </row>
    <row r="105" customFormat="false" ht="15" hidden="false" customHeight="false" outlineLevel="0" collapsed="false">
      <c r="A105" s="6" t="n">
        <v>98</v>
      </c>
      <c r="B105" s="14" t="n">
        <f aca="false">INDEX($S$4:$X$4,Q105)*(INDEX($S$4:$X$4,Q105+1)/INDEX($S$4:$X$4,Q105))^((LN(A105)-LN(INDEX($S$3:$X$3,Q105)))/(LN(INDEX($S$3:$X$3,Q105+1))-LN(INDEX($S$3:$X$3,Q105))))</f>
        <v>0.0204212204802205</v>
      </c>
      <c r="C105" s="33" t="n">
        <f aca="false">C104+B105</f>
        <v>5.91763686065778</v>
      </c>
      <c r="D105" s="36" t="n">
        <f aca="false">Допущения!$B$19*(1-EXP(-Допущения!$B$26*(A105+1)))</f>
        <v>0.00999969344812044</v>
      </c>
      <c r="E105" s="37" t="n">
        <f aca="false">D105-D104</f>
        <v>3.39306651352123E-008</v>
      </c>
      <c r="F105" s="37" t="n">
        <f aca="false">D105*MIN(1,B105*Допущения!$B$21)</f>
        <v>0.00051051486159671</v>
      </c>
      <c r="G105" s="17" t="n">
        <f aca="false">((B105-F105*Допущения!$B$23)*Допущения!$B$13*Допущения!$B$15+B105*Допущения!$B$14*Допущения!$B$16)/1000</f>
        <v>0.020087334370491</v>
      </c>
      <c r="H105" s="17" t="n">
        <f aca="false">E105*Допущения!$B$27</f>
        <v>3.17251719014235E-006</v>
      </c>
      <c r="I105" s="17" t="n">
        <f aca="false">F105*Допущения!$B$22/30*Допущения!$B$28</f>
        <v>0.00247281630079017</v>
      </c>
      <c r="J105" s="17" t="n">
        <f aca="false">G105*Допущения!$B$17+(H105+I105)*Допущения!$B$18</f>
        <v>0.0112816615942356</v>
      </c>
      <c r="K105" s="19" t="n">
        <f aca="false">K104+J105</f>
        <v>3.61255739911374</v>
      </c>
      <c r="L105" s="19" t="n">
        <f aca="false">L104+G105*Допущения!$B$17</f>
        <v>2.9118359616914</v>
      </c>
      <c r="M105" s="19" t="n">
        <f aca="false">M104+H105*Допущения!$B$18</f>
        <v>0.467485668699631</v>
      </c>
      <c r="N105" s="19" t="n">
        <f aca="false">N104+I105*Допущения!$B$18</f>
        <v>0.233235768722703</v>
      </c>
      <c r="O105" s="19" t="n">
        <f aca="false">O104+G105+H105+I105</f>
        <v>7.22511479822748</v>
      </c>
      <c r="P105" s="17" t="n">
        <f aca="false">P104+F105</f>
        <v>0.0963034141685536</v>
      </c>
      <c r="Q105" s="6" t="n">
        <f aca="false">MIN(MATCH(A105,$S$3:$X$3,1),5)</f>
        <v>4</v>
      </c>
    </row>
    <row r="106" customFormat="false" ht="15" hidden="false" customHeight="false" outlineLevel="0" collapsed="false">
      <c r="A106" s="6" t="n">
        <v>99</v>
      </c>
      <c r="B106" s="14" t="n">
        <f aca="false">INDEX($S$4:$X$4,Q106)*(INDEX($S$4:$X$4,Q106+1)/INDEX($S$4:$X$4,Q106))^((LN(A106)-LN(INDEX($S$3:$X$3,Q106)))/(LN(INDEX($S$3:$X$3,Q106+1))-LN(INDEX($S$3:$X$3,Q106))))</f>
        <v>0.0202407246065316</v>
      </c>
      <c r="C106" s="33" t="n">
        <f aca="false">C105+B106</f>
        <v>5.93787758526431</v>
      </c>
      <c r="D106" s="36" t="n">
        <f aca="false">Допущения!$B$19*(1-EXP(-Допущения!$B$26*(A106+1)))</f>
        <v>0.00999972399743738</v>
      </c>
      <c r="E106" s="37" t="n">
        <f aca="false">D106-D105</f>
        <v>3.05493169424492E-008</v>
      </c>
      <c r="F106" s="37" t="n">
        <f aca="false">D106*MIN(1,B106*Допущения!$B$21)</f>
        <v>0.000506004148933638</v>
      </c>
      <c r="G106" s="17" t="n">
        <f aca="false">((B106-F106*Допущения!$B$23)*Допущения!$B$13*Допущения!$B$15+B106*Допущения!$B$14*Допущения!$B$16)/1000</f>
        <v>0.0199097895133912</v>
      </c>
      <c r="H106" s="17" t="n">
        <f aca="false">E106*Допущения!$B$27</f>
        <v>2.856361134119E-006</v>
      </c>
      <c r="I106" s="17" t="n">
        <f aca="false">F106*Допущения!$B$22/30*Допущения!$B$28</f>
        <v>0.00245096744850301</v>
      </c>
      <c r="J106" s="17" t="n">
        <f aca="false">G106*Допущения!$B$17+(H106+I106)*Допущения!$B$18</f>
        <v>0.0111818066615142</v>
      </c>
      <c r="K106" s="19" t="n">
        <f aca="false">K105+J106</f>
        <v>3.62373920577525</v>
      </c>
      <c r="L106" s="19" t="n">
        <f aca="false">L105+G106*Допущения!$B$17</f>
        <v>2.9217908564481</v>
      </c>
      <c r="M106" s="19" t="n">
        <f aca="false">M105+H106*Допущения!$B$18</f>
        <v>0.467487096880198</v>
      </c>
      <c r="N106" s="19" t="n">
        <f aca="false">N105+I106*Допущения!$B$18</f>
        <v>0.234461252446955</v>
      </c>
      <c r="O106" s="19" t="n">
        <f aca="false">O105+G106+H106+I106</f>
        <v>7.24747841155051</v>
      </c>
      <c r="P106" s="17" t="n">
        <f aca="false">P105+F106</f>
        <v>0.0968094183174873</v>
      </c>
      <c r="Q106" s="6" t="n">
        <f aca="false">MIN(MATCH(A106,$S$3:$X$3,1),5)</f>
        <v>4</v>
      </c>
    </row>
    <row r="107" customFormat="false" ht="15" hidden="false" customHeight="false" outlineLevel="0" collapsed="false">
      <c r="A107" s="6" t="n">
        <v>100</v>
      </c>
      <c r="B107" s="14" t="n">
        <f aca="false">INDEX($S$4:$X$4,Q107)*(INDEX($S$4:$X$4,Q107+1)/INDEX($S$4:$X$4,Q107))^((LN(A107)-LN(INDEX($S$3:$X$3,Q107)))/(LN(INDEX($S$3:$X$3,Q107+1))-LN(INDEX($S$3:$X$3,Q107))))</f>
        <v>0.0200636142074453</v>
      </c>
      <c r="C107" s="33" t="n">
        <f aca="false">C106+B107</f>
        <v>5.95794119947176</v>
      </c>
      <c r="D107" s="36" t="n">
        <f aca="false">Допущения!$B$19*(1-EXP(-Допущения!$B$26*(A107+1)))</f>
        <v>0.00999975150237317</v>
      </c>
      <c r="E107" s="37" t="n">
        <f aca="false">D107-D106</f>
        <v>2.75049357872925E-008</v>
      </c>
      <c r="F107" s="37" t="n">
        <f aca="false">D107*MIN(1,B107*Допущения!$B$21)</f>
        <v>0.000501577890784842</v>
      </c>
      <c r="G107" s="17" t="n">
        <f aca="false">((B107-F107*Допущения!$B$23)*Допущения!$B$13*Допущения!$B$15+B107*Допущения!$B$14*Допущения!$B$16)/1000</f>
        <v>0.0197355747882312</v>
      </c>
      <c r="H107" s="17" t="n">
        <f aca="false">E107*Допущения!$B$27</f>
        <v>2.57171149611185E-006</v>
      </c>
      <c r="I107" s="17" t="n">
        <f aca="false">F107*Допущения!$B$22/30*Допущения!$B$28</f>
        <v>0.00242952767441374</v>
      </c>
      <c r="J107" s="17" t="n">
        <f aca="false">G107*Допущения!$B$17+(H107+I107)*Допущения!$B$18</f>
        <v>0.0110838370870705</v>
      </c>
      <c r="K107" s="19" t="n">
        <f aca="false">K106+J107</f>
        <v>3.63482304286232</v>
      </c>
      <c r="L107" s="19" t="n">
        <f aca="false">L106+G107*Допущения!$B$17</f>
        <v>2.93165864384222</v>
      </c>
      <c r="M107" s="19" t="n">
        <f aca="false">M106+H107*Допущения!$B$18</f>
        <v>0.467488382735946</v>
      </c>
      <c r="N107" s="19" t="n">
        <f aca="false">N106+I107*Допущения!$B$18</f>
        <v>0.235676016284162</v>
      </c>
      <c r="O107" s="19" t="n">
        <f aca="false">O106+G107+H107+I107</f>
        <v>7.26964608572465</v>
      </c>
      <c r="P107" s="17" t="n">
        <f aca="false">P106+F107</f>
        <v>0.0973109962082721</v>
      </c>
      <c r="Q107" s="6" t="n">
        <f aca="false">MIN(MATCH(A107,$S$3:$X$3,1),5)</f>
        <v>4</v>
      </c>
    </row>
    <row r="108" customFormat="false" ht="15" hidden="false" customHeight="false" outlineLevel="0" collapsed="false">
      <c r="A108" s="6" t="n">
        <v>101</v>
      </c>
      <c r="B108" s="14" t="n">
        <f aca="false">INDEX($S$4:$X$4,Q108)*(INDEX($S$4:$X$4,Q108+1)/INDEX($S$4:$X$4,Q108))^((LN(A108)-LN(INDEX($S$3:$X$3,Q108)))/(LN(INDEX($S$3:$X$3,Q108+1))-LN(INDEX($S$3:$X$3,Q108))))</f>
        <v>0.0198897928717462</v>
      </c>
      <c r="C108" s="33" t="n">
        <f aca="false">C107+B108</f>
        <v>5.9778309923435</v>
      </c>
      <c r="D108" s="36" t="n">
        <f aca="false">Допущения!$B$19*(1-EXP(-Допущения!$B$26*(A108+1)))</f>
        <v>0.0099997762663145</v>
      </c>
      <c r="E108" s="37" t="n">
        <f aca="false">D108-D107</f>
        <v>2.47639413350487E-008</v>
      </c>
      <c r="F108" s="37" t="n">
        <f aca="false">D108*MIN(1,B108*Допущения!$B$21)</f>
        <v>0.000497233696751997</v>
      </c>
      <c r="G108" s="17" t="n">
        <f aca="false">((B108-F108*Допущения!$B$23)*Допущения!$B$13*Допущения!$B$15+B108*Допущения!$B$14*Допущения!$B$16)/1000</f>
        <v>0.0195645953590454</v>
      </c>
      <c r="H108" s="17" t="n">
        <f aca="false">E108*Допущения!$B$27</f>
        <v>2.31542851482705E-006</v>
      </c>
      <c r="I108" s="17" t="n">
        <f aca="false">F108*Допущения!$B$22/30*Допущения!$B$28</f>
        <v>0.00240848539998393</v>
      </c>
      <c r="J108" s="17" t="n">
        <f aca="false">G108*Допущения!$B$17+(H108+I108)*Допущения!$B$18</f>
        <v>0.0109876980937721</v>
      </c>
      <c r="K108" s="19" t="n">
        <f aca="false">K107+J108</f>
        <v>3.64581074095609</v>
      </c>
      <c r="L108" s="19" t="n">
        <f aca="false">L107+G108*Допущения!$B$17</f>
        <v>2.94144094152174</v>
      </c>
      <c r="M108" s="19" t="n">
        <f aca="false">M107+H108*Допущения!$B$18</f>
        <v>0.467489540450203</v>
      </c>
      <c r="N108" s="19" t="n">
        <f aca="false">N107+I108*Допущения!$B$18</f>
        <v>0.236880258984154</v>
      </c>
      <c r="O108" s="19" t="n">
        <f aca="false">O107+G108+H108+I108</f>
        <v>7.2916214819122</v>
      </c>
      <c r="P108" s="17" t="n">
        <f aca="false">P107+F108</f>
        <v>0.0978082299050241</v>
      </c>
      <c r="Q108" s="6" t="n">
        <f aca="false">MIN(MATCH(A108,$S$3:$X$3,1),5)</f>
        <v>4</v>
      </c>
    </row>
    <row r="109" customFormat="false" ht="15" hidden="false" customHeight="false" outlineLevel="0" collapsed="false">
      <c r="A109" s="6" t="n">
        <v>102</v>
      </c>
      <c r="B109" s="14" t="n">
        <f aca="false">INDEX($S$4:$X$4,Q109)*(INDEX($S$4:$X$4,Q109+1)/INDEX($S$4:$X$4,Q109))^((LN(A109)-LN(INDEX($S$3:$X$3,Q109)))/(LN(INDEX($S$3:$X$3,Q109+1))-LN(INDEX($S$3:$X$3,Q109))))</f>
        <v>0.0197191678526712</v>
      </c>
      <c r="C109" s="33" t="n">
        <f aca="false">C108+B109</f>
        <v>5.99755016019618</v>
      </c>
      <c r="D109" s="36" t="n">
        <f aca="false">Допущения!$B$19*(1-EXP(-Допущения!$B$26*(A109+1)))</f>
        <v>0.0099997985624142</v>
      </c>
      <c r="E109" s="37" t="n">
        <f aca="false">D109-D108</f>
        <v>2.22960996991428E-008</v>
      </c>
      <c r="F109" s="37" t="n">
        <f aca="false">D109*MIN(1,B109*Допущения!$B$21)</f>
        <v>0.000492969265862863</v>
      </c>
      <c r="G109" s="17" t="n">
        <f aca="false">((B109-F109*Допущения!$B$23)*Допущения!$B$13*Допущения!$B$15+B109*Допущения!$B$14*Допущения!$B$16)/1000</f>
        <v>0.0193967599945245</v>
      </c>
      <c r="H109" s="17" t="n">
        <f aca="false">E109*Допущения!$B$27</f>
        <v>2.08468532186985E-006</v>
      </c>
      <c r="I109" s="17" t="n">
        <f aca="false">F109*Допущения!$B$22/30*Допущения!$B$28</f>
        <v>0.00238782947983449</v>
      </c>
      <c r="J109" s="17" t="n">
        <f aca="false">G109*Допущения!$B$17+(H109+I109)*Допущения!$B$18</f>
        <v>0.0108933370798404</v>
      </c>
      <c r="K109" s="19" t="n">
        <f aca="false">K108+J109</f>
        <v>3.65670407803593</v>
      </c>
      <c r="L109" s="19" t="n">
        <f aca="false">L108+G109*Допущения!$B$17</f>
        <v>2.951139321519</v>
      </c>
      <c r="M109" s="19" t="n">
        <f aca="false">M108+H109*Допущения!$B$18</f>
        <v>0.467490582792864</v>
      </c>
      <c r="N109" s="19" t="n">
        <f aca="false">N108+I109*Допущения!$B$18</f>
        <v>0.238074173724071</v>
      </c>
      <c r="O109" s="19" t="n">
        <f aca="false">O108+G109+H109+I109</f>
        <v>7.31340815607188</v>
      </c>
      <c r="P109" s="17" t="n">
        <f aca="false">P108+F109</f>
        <v>0.098301199170887</v>
      </c>
      <c r="Q109" s="6" t="n">
        <f aca="false">MIN(MATCH(A109,$S$3:$X$3,1),5)</f>
        <v>4</v>
      </c>
    </row>
    <row r="110" customFormat="false" ht="15" hidden="false" customHeight="false" outlineLevel="0" collapsed="false">
      <c r="A110" s="6" t="n">
        <v>103</v>
      </c>
      <c r="B110" s="14" t="n">
        <f aca="false">INDEX($S$4:$X$4,Q110)*(INDEX($S$4:$X$4,Q110+1)/INDEX($S$4:$X$4,Q110))^((LN(A110)-LN(INDEX($S$3:$X$3,Q110)))/(LN(INDEX($S$3:$X$3,Q110+1))-LN(INDEX($S$3:$X$3,Q110))))</f>
        <v>0.0195516498943828</v>
      </c>
      <c r="C110" s="33" t="n">
        <f aca="false">C109+B110</f>
        <v>6.01710181009056</v>
      </c>
      <c r="D110" s="36" t="n">
        <f aca="false">Допущения!$B$19*(1-EXP(-Допущения!$B$26*(A110+1)))</f>
        <v>0.00999981863660413</v>
      </c>
      <c r="E110" s="37" t="n">
        <f aca="false">D110-D109</f>
        <v>2.00741899266527E-008</v>
      </c>
      <c r="F110" s="37" t="n">
        <f aca="false">D110*MIN(1,B110*Допущения!$B$21)</f>
        <v>0.000488782382475521</v>
      </c>
      <c r="G110" s="17" t="n">
        <f aca="false">((B110-F110*Допущения!$B$23)*Допущения!$B$13*Допущения!$B$15+B110*Допущения!$B$14*Допущения!$B$16)/1000</f>
        <v>0.0192319808973134</v>
      </c>
      <c r="H110" s="17" t="n">
        <f aca="false">E110*Допущения!$B$27</f>
        <v>1.87693675814202E-006</v>
      </c>
      <c r="I110" s="17" t="n">
        <f aca="false">F110*Допущения!$B$22/30*Допущения!$B$28</f>
        <v>0.00236754918190674</v>
      </c>
      <c r="J110" s="17" t="n">
        <f aca="false">G110*Допущения!$B$17+(H110+I110)*Допущения!$B$18</f>
        <v>0.0108007035079891</v>
      </c>
      <c r="K110" s="19" t="n">
        <f aca="false">K109+J110</f>
        <v>3.66750478154392</v>
      </c>
      <c r="L110" s="19" t="n">
        <f aca="false">L109+G110*Допущения!$B$17</f>
        <v>2.96075531196766</v>
      </c>
      <c r="M110" s="19" t="n">
        <f aca="false">M109+H110*Допущения!$B$18</f>
        <v>0.467491521261243</v>
      </c>
      <c r="N110" s="19" t="n">
        <f aca="false">N109+I110*Допущения!$B$18</f>
        <v>0.239257948315024</v>
      </c>
      <c r="O110" s="19" t="n">
        <f aca="false">O109+G110+H110+I110</f>
        <v>7.33500956308785</v>
      </c>
      <c r="P110" s="17" t="n">
        <f aca="false">P109+F110</f>
        <v>0.0987899815533625</v>
      </c>
      <c r="Q110" s="6" t="n">
        <f aca="false">MIN(MATCH(A110,$S$3:$X$3,1),5)</f>
        <v>4</v>
      </c>
    </row>
    <row r="111" customFormat="false" ht="15" hidden="false" customHeight="false" outlineLevel="0" collapsed="false">
      <c r="A111" s="6" t="n">
        <v>104</v>
      </c>
      <c r="B111" s="14" t="n">
        <f aca="false">INDEX($S$4:$X$4,Q111)*(INDEX($S$4:$X$4,Q111+1)/INDEX($S$4:$X$4,Q111))^((LN(A111)-LN(INDEX($S$3:$X$3,Q111)))/(LN(INDEX($S$3:$X$3,Q111+1))-LN(INDEX($S$3:$X$3,Q111))))</f>
        <v>0.0193871530682503</v>
      </c>
      <c r="C111" s="33" t="n">
        <f aca="false">C110+B111</f>
        <v>6.03648896315881</v>
      </c>
      <c r="D111" s="36" t="n">
        <f aca="false">Допущения!$B$19*(1-EXP(-Допущения!$B$26*(A111+1)))</f>
        <v>0.0099998367103079</v>
      </c>
      <c r="E111" s="37" t="n">
        <f aca="false">D111-D110</f>
        <v>1.8073703773186E-008</v>
      </c>
      <c r="F111" s="37" t="n">
        <f aca="false">D111*MIN(1,B111*Допущения!$B$21)</f>
        <v>0.00048467091240062</v>
      </c>
      <c r="G111" s="17" t="n">
        <f aca="false">((B111-F111*Допущения!$B$23)*Допущения!$B$13*Допущения!$B$15+B111*Допущения!$B$14*Допущения!$B$16)/1000</f>
        <v>0.0190701735429569</v>
      </c>
      <c r="H111" s="17" t="n">
        <f aca="false">E111*Допущения!$B$27</f>
        <v>1.68989130279289E-006</v>
      </c>
      <c r="I111" s="17" t="n">
        <f aca="false">F111*Допущения!$B$22/30*Допущения!$B$28</f>
        <v>0.00234763416867945</v>
      </c>
      <c r="J111" s="17" t="n">
        <f aca="false">G111*Допущения!$B$17+(H111+I111)*Допущения!$B$18</f>
        <v>0.0107097488014696</v>
      </c>
      <c r="K111" s="19" t="n">
        <f aca="false">K110+J111</f>
        <v>3.67821453034539</v>
      </c>
      <c r="L111" s="19" t="n">
        <f aca="false">L110+G111*Допущения!$B$17</f>
        <v>2.97029039873914</v>
      </c>
      <c r="M111" s="19" t="n">
        <f aca="false">M110+H111*Допущения!$B$18</f>
        <v>0.467492366206894</v>
      </c>
      <c r="N111" s="19" t="n">
        <f aca="false">N110+I111*Допущения!$B$18</f>
        <v>0.240431765399364</v>
      </c>
      <c r="O111" s="19" t="n">
        <f aca="false">O110+G111+H111+I111</f>
        <v>7.35642906069079</v>
      </c>
      <c r="P111" s="17" t="n">
        <f aca="false">P110+F111</f>
        <v>0.0992746524657631</v>
      </c>
      <c r="Q111" s="6" t="n">
        <f aca="false">MIN(MATCH(A111,$S$3:$X$3,1),5)</f>
        <v>4</v>
      </c>
    </row>
    <row r="112" customFormat="false" ht="15" hidden="false" customHeight="false" outlineLevel="0" collapsed="false">
      <c r="A112" s="6" t="n">
        <v>105</v>
      </c>
      <c r="B112" s="14" t="n">
        <f aca="false">INDEX($S$4:$X$4,Q112)*(INDEX($S$4:$X$4,Q112+1)/INDEX($S$4:$X$4,Q112))^((LN(A112)-LN(INDEX($S$3:$X$3,Q112)))/(LN(INDEX($S$3:$X$3,Q112+1))-LN(INDEX($S$3:$X$3,Q112))))</f>
        <v>0.0192255946182955</v>
      </c>
      <c r="C112" s="33" t="n">
        <f aca="false">C111+B112</f>
        <v>6.0557145577771</v>
      </c>
      <c r="D112" s="36" t="n">
        <f aca="false">Допущения!$B$19*(1-EXP(-Допущения!$B$26*(A112+1)))</f>
        <v>0.00999985298288325</v>
      </c>
      <c r="E112" s="37" t="n">
        <f aca="false">D112-D111</f>
        <v>1.62725753462267E-008</v>
      </c>
      <c r="F112" s="37" t="n">
        <f aca="false">D112*MIN(1,B112*Допущения!$B$21)</f>
        <v>0.000480632799228667</v>
      </c>
      <c r="G112" s="17" t="n">
        <f aca="false">((B112-F112*Допущения!$B$23)*Допущения!$B$13*Допущения!$B$15+B112*Допущения!$B$14*Допущения!$B$16)/1000</f>
        <v>0.0189112565278628</v>
      </c>
      <c r="H112" s="17" t="n">
        <f aca="false">E112*Допущения!$B$27</f>
        <v>1.5214857948722E-006</v>
      </c>
      <c r="I112" s="17" t="n">
        <f aca="false">F112*Допущения!$B$22/30*Допущения!$B$28</f>
        <v>0.00232807447937911</v>
      </c>
      <c r="J112" s="17" t="n">
        <f aca="false">G112*Допущения!$B$17+(H112+I112)*Допущения!$B$18</f>
        <v>0.0106204262465184</v>
      </c>
      <c r="K112" s="19" t="n">
        <f aca="false">K111+J112</f>
        <v>3.68883495659191</v>
      </c>
      <c r="L112" s="19" t="n">
        <f aca="false">L111+G112*Допущения!$B$17</f>
        <v>2.97974602700307</v>
      </c>
      <c r="M112" s="19" t="n">
        <f aca="false">M111+H112*Допущения!$B$18</f>
        <v>0.467493126949792</v>
      </c>
      <c r="N112" s="19" t="n">
        <f aca="false">N111+I112*Допущения!$B$18</f>
        <v>0.241595802639053</v>
      </c>
      <c r="O112" s="19" t="n">
        <f aca="false">O111+G112+H112+I112</f>
        <v>7.37766991318383</v>
      </c>
      <c r="P112" s="17" t="n">
        <f aca="false">P111+F112</f>
        <v>0.0997552852649918</v>
      </c>
      <c r="Q112" s="6" t="n">
        <f aca="false">MIN(MATCH(A112,$S$3:$X$3,1),5)</f>
        <v>4</v>
      </c>
    </row>
    <row r="113" customFormat="false" ht="15" hidden="false" customHeight="false" outlineLevel="0" collapsed="false">
      <c r="A113" s="6" t="n">
        <v>106</v>
      </c>
      <c r="B113" s="14" t="n">
        <f aca="false">INDEX($S$4:$X$4,Q113)*(INDEX($S$4:$X$4,Q113+1)/INDEX($S$4:$X$4,Q113))^((LN(A113)-LN(INDEX($S$3:$X$3,Q113)))/(LN(INDEX($S$3:$X$3,Q113+1))-LN(INDEX($S$3:$X$3,Q113))))</f>
        <v>0.0190668948152095</v>
      </c>
      <c r="C113" s="33" t="n">
        <f aca="false">C112+B113</f>
        <v>6.07478145259231</v>
      </c>
      <c r="D113" s="36" t="n">
        <f aca="false">Допущения!$B$19*(1-EXP(-Допущения!$B$26*(A113+1)))</f>
        <v>0.00999986763382097</v>
      </c>
      <c r="E113" s="37" t="n">
        <f aca="false">D113-D112</f>
        <v>1.46509377199622E-008</v>
      </c>
      <c r="F113" s="37" t="n">
        <f aca="false">D113*MIN(1,B113*Допущения!$B$21)</f>
        <v>0.000476666060850205</v>
      </c>
      <c r="G113" s="17" t="n">
        <f aca="false">((B113-F113*Допущения!$B$23)*Допущения!$B$13*Допущения!$B$15+B113*Допущения!$B$14*Допущения!$B$16)/1000</f>
        <v>0.0187551514256954</v>
      </c>
      <c r="H113" s="17" t="n">
        <f aca="false">E113*Допущения!$B$27</f>
        <v>1.36986267681646E-006</v>
      </c>
      <c r="I113" s="17" t="n">
        <f aca="false">F113*Допущения!$B$22/30*Допущения!$B$28</f>
        <v>0.00230886051312443</v>
      </c>
      <c r="J113" s="17" t="n">
        <f aca="false">G113*Допущения!$B$17+(H113+I113)*Допущения!$B$18</f>
        <v>0.0105326909007483</v>
      </c>
      <c r="K113" s="19" t="n">
        <f aca="false">K112+J113</f>
        <v>3.69936764749266</v>
      </c>
      <c r="L113" s="19" t="n">
        <f aca="false">L112+G113*Допущения!$B$17</f>
        <v>2.98912360271592</v>
      </c>
      <c r="M113" s="19" t="n">
        <f aca="false">M112+H113*Допущения!$B$18</f>
        <v>0.46749381188113</v>
      </c>
      <c r="N113" s="19" t="n">
        <f aca="false">N112+I113*Допущения!$B$18</f>
        <v>0.242750232895616</v>
      </c>
      <c r="O113" s="19" t="n">
        <f aca="false">O112+G113+H113+I113</f>
        <v>7.39873529498533</v>
      </c>
      <c r="P113" s="17" t="n">
        <f aca="false">P112+F113</f>
        <v>0.100231951325842</v>
      </c>
      <c r="Q113" s="6" t="n">
        <f aca="false">MIN(MATCH(A113,$S$3:$X$3,1),5)</f>
        <v>4</v>
      </c>
    </row>
    <row r="114" customFormat="false" ht="15" hidden="false" customHeight="false" outlineLevel="0" collapsed="false">
      <c r="A114" s="6" t="n">
        <v>107</v>
      </c>
      <c r="B114" s="14" t="n">
        <f aca="false">INDEX($S$4:$X$4,Q114)*(INDEX($S$4:$X$4,Q114+1)/INDEX($S$4:$X$4,Q114))^((LN(A114)-LN(INDEX($S$3:$X$3,Q114)))/(LN(INDEX($S$3:$X$3,Q114+1))-LN(INDEX($S$3:$X$3,Q114))))</f>
        <v>0.0189109768183884</v>
      </c>
      <c r="C114" s="33" t="n">
        <f aca="false">C113+B114</f>
        <v>6.0936924294107</v>
      </c>
      <c r="D114" s="36" t="n">
        <f aca="false">Допущения!$B$19*(1-EXP(-Допущения!$B$26*(A114+1)))</f>
        <v>0.00999988082472478</v>
      </c>
      <c r="E114" s="37" t="n">
        <f aca="false">D114-D113</f>
        <v>1.31909038102174E-008</v>
      </c>
      <c r="F114" s="37" t="n">
        <f aca="false">D114*MIN(1,B114*Допущения!$B$21)</f>
        <v>0.000472768786157542</v>
      </c>
      <c r="G114" s="17" t="n">
        <f aca="false">((B114-F114*Допущения!$B$23)*Допущения!$B$13*Допущения!$B$15+B114*Допущения!$B$14*Допущения!$B$16)/1000</f>
        <v>0.0186017826516601</v>
      </c>
      <c r="H114" s="17" t="n">
        <f aca="false">E114*Допущения!$B$27</f>
        <v>1.23334950625532E-006</v>
      </c>
      <c r="I114" s="17" t="n">
        <f aca="false">F114*Допущения!$B$22/30*Допущения!$B$28</f>
        <v>0.00228998301295032</v>
      </c>
      <c r="J114" s="17" t="n">
        <f aca="false">G114*Допущения!$B$17+(H114+I114)*Допущения!$B$18</f>
        <v>0.0104464995070583</v>
      </c>
      <c r="K114" s="19" t="n">
        <f aca="false">K113+J114</f>
        <v>3.70981414699972</v>
      </c>
      <c r="L114" s="19" t="n">
        <f aca="false">L113+G114*Допущения!$B$17</f>
        <v>2.99842449404175</v>
      </c>
      <c r="M114" s="19" t="n">
        <f aca="false">M113+H114*Допущения!$B$18</f>
        <v>0.467494428555883</v>
      </c>
      <c r="N114" s="19" t="n">
        <f aca="false">N113+I114*Допущения!$B$18</f>
        <v>0.243895224402091</v>
      </c>
      <c r="O114" s="19" t="n">
        <f aca="false">O113+G114+H114+I114</f>
        <v>7.41962829399944</v>
      </c>
      <c r="P114" s="17" t="n">
        <f aca="false">P113+F114</f>
        <v>0.100704720112</v>
      </c>
      <c r="Q114" s="6" t="n">
        <f aca="false">MIN(MATCH(A114,$S$3:$X$3,1),5)</f>
        <v>4</v>
      </c>
    </row>
    <row r="115" customFormat="false" ht="15" hidden="false" customHeight="false" outlineLevel="0" collapsed="false">
      <c r="A115" s="6" t="n">
        <v>108</v>
      </c>
      <c r="B115" s="14" t="n">
        <f aca="false">INDEX($S$4:$X$4,Q115)*(INDEX($S$4:$X$4,Q115+1)/INDEX($S$4:$X$4,Q115))^((LN(A115)-LN(INDEX($S$3:$X$3,Q115)))/(LN(INDEX($S$3:$X$3,Q115+1))-LN(INDEX($S$3:$X$3,Q115))))</f>
        <v>0.0187577665454785</v>
      </c>
      <c r="C115" s="33" t="n">
        <f aca="false">C114+B115</f>
        <v>6.11245019595618</v>
      </c>
      <c r="D115" s="36" t="n">
        <f aca="false">Допущения!$B$19*(1-EXP(-Допущения!$B$26*(A115+1)))</f>
        <v>0.00999989270109383</v>
      </c>
      <c r="E115" s="37" t="n">
        <f aca="false">D115-D114</f>
        <v>1.18763690496598E-008</v>
      </c>
      <c r="F115" s="37" t="n">
        <f aca="false">D115*MIN(1,B115*Допущения!$B$21)</f>
        <v>0.000468939131917381</v>
      </c>
      <c r="G115" s="17" t="n">
        <f aca="false">((B115-F115*Допущения!$B$23)*Допущения!$B$13*Допущения!$B$15+B115*Допущения!$B$14*Допущения!$B$16)/1000</f>
        <v>0.0184510773341728</v>
      </c>
      <c r="H115" s="17" t="n">
        <f aca="false">E115*Допущения!$B$27</f>
        <v>1.11044050614319E-006</v>
      </c>
      <c r="I115" s="17" t="n">
        <f aca="false">F115*Допущения!$B$22/30*Допущения!$B$28</f>
        <v>0.00227143305065963</v>
      </c>
      <c r="J115" s="17" t="n">
        <f aca="false">G115*Допущения!$B$17+(H115+I115)*Допущения!$B$18</f>
        <v>0.0103618104126693</v>
      </c>
      <c r="K115" s="19" t="n">
        <f aca="false">K114+J115</f>
        <v>3.72017595741239</v>
      </c>
      <c r="L115" s="19" t="n">
        <f aca="false">L114+G115*Допущения!$B$17</f>
        <v>3.00765003270883</v>
      </c>
      <c r="M115" s="19" t="n">
        <f aca="false">M114+H115*Допущения!$B$18</f>
        <v>0.467494983776137</v>
      </c>
      <c r="N115" s="19" t="n">
        <f aca="false">N114+I115*Допущения!$B$18</f>
        <v>0.245030940927421</v>
      </c>
      <c r="O115" s="19" t="n">
        <f aca="false">O114+G115+H115+I115</f>
        <v>7.44035191482478</v>
      </c>
      <c r="P115" s="17" t="n">
        <f aca="false">P114+F115</f>
        <v>0.101173659243917</v>
      </c>
      <c r="Q115" s="6" t="n">
        <f aca="false">MIN(MATCH(A115,$S$3:$X$3,1),5)</f>
        <v>4</v>
      </c>
    </row>
    <row r="116" customFormat="false" ht="15" hidden="false" customHeight="false" outlineLevel="0" collapsed="false">
      <c r="A116" s="6" t="n">
        <v>109</v>
      </c>
      <c r="B116" s="14" t="n">
        <f aca="false">INDEX($S$4:$X$4,Q116)*(INDEX($S$4:$X$4,Q116+1)/INDEX($S$4:$X$4,Q116))^((LN(A116)-LN(INDEX($S$3:$X$3,Q116)))/(LN(INDEX($S$3:$X$3,Q116+1))-LN(INDEX($S$3:$X$3,Q116))))</f>
        <v>0.0186071925489557</v>
      </c>
      <c r="C116" s="33" t="n">
        <f aca="false">C115+B116</f>
        <v>6.13105738850514</v>
      </c>
      <c r="D116" s="36" t="n">
        <f aca="false">Допущения!$B$19*(1-EXP(-Допущения!$B$26*(A116+1)))</f>
        <v>0.0099999033939276</v>
      </c>
      <c r="E116" s="37" t="n">
        <f aca="false">D116-D115</f>
        <v>1.06928337781365E-008</v>
      </c>
      <c r="F116" s="37" t="n">
        <f aca="false">D116*MIN(1,B116*Допущения!$B$21)</f>
        <v>0.000465175319804415</v>
      </c>
      <c r="G116" s="17" t="n">
        <f aca="false">((B116-F116*Допущения!$B$23)*Допущения!$B$13*Допущения!$B$15+B116*Допущения!$B$14*Допущения!$B$16)/1000</f>
        <v>0.0183029651934519</v>
      </c>
      <c r="H116" s="17" t="n">
        <f aca="false">E116*Допущения!$B$27</f>
        <v>9.99779958255759E-007</v>
      </c>
      <c r="I116" s="17" t="n">
        <f aca="false">F116*Допущения!$B$22/30*Допущения!$B$28</f>
        <v>0.0022532020124545</v>
      </c>
      <c r="J116" s="17" t="n">
        <f aca="false">G116*Допущения!$B$17+(H116+I116)*Допущения!$B$18</f>
        <v>0.0102785834929323</v>
      </c>
      <c r="K116" s="19" t="n">
        <f aca="false">K115+J116</f>
        <v>3.73045454090532</v>
      </c>
      <c r="L116" s="19" t="n">
        <f aca="false">L115+G116*Допущения!$B$17</f>
        <v>3.01680151530556</v>
      </c>
      <c r="M116" s="19" t="n">
        <f aca="false">M115+H116*Допущения!$B$18</f>
        <v>0.467495483666116</v>
      </c>
      <c r="N116" s="19" t="n">
        <f aca="false">N115+I116*Допущения!$B$18</f>
        <v>0.246157541933648</v>
      </c>
      <c r="O116" s="19" t="n">
        <f aca="false">O115+G116+H116+I116</f>
        <v>7.46090908181065</v>
      </c>
      <c r="P116" s="17" t="n">
        <f aca="false">P115+F116</f>
        <v>0.101638834563721</v>
      </c>
      <c r="Q116" s="6" t="n">
        <f aca="false">MIN(MATCH(A116,$S$3:$X$3,1),5)</f>
        <v>4</v>
      </c>
    </row>
    <row r="117" customFormat="false" ht="15" hidden="false" customHeight="false" outlineLevel="0" collapsed="false">
      <c r="A117" s="6" t="n">
        <v>110</v>
      </c>
      <c r="B117" s="14" t="n">
        <f aca="false">INDEX($S$4:$X$4,Q117)*(INDEX($S$4:$X$4,Q117+1)/INDEX($S$4:$X$4,Q117))^((LN(A117)-LN(INDEX($S$3:$X$3,Q117)))/(LN(INDEX($S$3:$X$3,Q117+1))-LN(INDEX($S$3:$X$3,Q117))))</f>
        <v>0.0184591858992998</v>
      </c>
      <c r="C117" s="33" t="n">
        <f aca="false">C116+B117</f>
        <v>6.14951657440444</v>
      </c>
      <c r="D117" s="36" t="n">
        <f aca="false">Допущения!$B$19*(1-EXP(-Допущения!$B$26*(A117+1)))</f>
        <v>0.00999991302117089</v>
      </c>
      <c r="E117" s="37" t="n">
        <f aca="false">D117-D116</f>
        <v>9.62724328555653E-009</v>
      </c>
      <c r="F117" s="37" t="n">
        <f aca="false">D117*MIN(1,B117*Допущения!$B$21)</f>
        <v>0.000461475633586555</v>
      </c>
      <c r="G117" s="17" t="n">
        <f aca="false">((B117-F117*Допущения!$B$23)*Допущения!$B$13*Допущения!$B$15+B117*Допущения!$B$14*Допущения!$B$16)/1000</f>
        <v>0.0181573784265966</v>
      </c>
      <c r="H117" s="17" t="n">
        <f aca="false">E117*Допущения!$B$27</f>
        <v>9.00147247199536E-007</v>
      </c>
      <c r="I117" s="17" t="n">
        <f aca="false">F117*Допущения!$B$22/30*Допущения!$B$28</f>
        <v>0.00223528158530235</v>
      </c>
      <c r="J117" s="17" t="n">
        <f aca="false">G117*Допущения!$B$17+(H117+I117)*Допущения!$B$18</f>
        <v>0.0101967800795731</v>
      </c>
      <c r="K117" s="19" t="n">
        <f aca="false">K116+J117</f>
        <v>3.74065132098489</v>
      </c>
      <c r="L117" s="19" t="n">
        <f aca="false">L116+G117*Допущения!$B$17</f>
        <v>3.02588020451886</v>
      </c>
      <c r="M117" s="19" t="n">
        <f aca="false">M116+H117*Допущения!$B$18</f>
        <v>0.467495933739739</v>
      </c>
      <c r="N117" s="19" t="n">
        <f aca="false">N116+I117*Допущения!$B$18</f>
        <v>0.247275182726299</v>
      </c>
      <c r="O117" s="19" t="n">
        <f aca="false">O116+G117+H117+I117</f>
        <v>7.48130264196979</v>
      </c>
      <c r="P117" s="17" t="n">
        <f aca="false">P116+F117</f>
        <v>0.102100310197308</v>
      </c>
      <c r="Q117" s="6" t="n">
        <f aca="false">MIN(MATCH(A117,$S$3:$X$3,1),5)</f>
        <v>4</v>
      </c>
    </row>
    <row r="118" customFormat="false" ht="15" hidden="false" customHeight="false" outlineLevel="0" collapsed="false">
      <c r="A118" s="6" t="n">
        <v>111</v>
      </c>
      <c r="B118" s="14" t="n">
        <f aca="false">INDEX($S$4:$X$4,Q118)*(INDEX($S$4:$X$4,Q118+1)/INDEX($S$4:$X$4,Q118))^((LN(A118)-LN(INDEX($S$3:$X$3,Q118)))/(LN(INDEX($S$3:$X$3,Q118+1))-LN(INDEX($S$3:$X$3,Q118))))</f>
        <v>0.018313680074356</v>
      </c>
      <c r="C118" s="33" t="n">
        <f aca="false">C117+B118</f>
        <v>6.16783025447879</v>
      </c>
      <c r="D118" s="36" t="n">
        <f aca="false">Допущения!$B$19*(1-EXP(-Допущения!$B$26*(A118+1)))</f>
        <v>0.00999992168901472</v>
      </c>
      <c r="E118" s="37" t="n">
        <f aca="false">D118-D117</f>
        <v>8.6678438298432E-009</v>
      </c>
      <c r="F118" s="37" t="n">
        <f aca="false">D118*MIN(1,B118*Допущения!$B$21)</f>
        <v>0.000457838416453072</v>
      </c>
      <c r="G118" s="17" t="n">
        <f aca="false">((B118-F118*Допущения!$B$23)*Допущения!$B$13*Допущения!$B$15+B118*Допущения!$B$14*Допущения!$B$16)/1000</f>
        <v>0.0180142515987522</v>
      </c>
      <c r="H118" s="17" t="n">
        <f aca="false">E118*Допущения!$B$27</f>
        <v>8.10443398090339E-007</v>
      </c>
      <c r="I118" s="17" t="n">
        <f aca="false">F118*Допущения!$B$22/30*Допущения!$B$28</f>
        <v>0.00221766374399395</v>
      </c>
      <c r="J118" s="17" t="n">
        <f aca="false">G118*Допущения!$B$17+(H118+I118)*Допущения!$B$18</f>
        <v>0.0101163628930721</v>
      </c>
      <c r="K118" s="19" t="n">
        <f aca="false">K117+J118</f>
        <v>3.75076768387797</v>
      </c>
      <c r="L118" s="19" t="n">
        <f aca="false">L117+G118*Допущения!$B$17</f>
        <v>3.03488733031823</v>
      </c>
      <c r="M118" s="19" t="n">
        <f aca="false">M117+H118*Допущения!$B$18</f>
        <v>0.467496338961438</v>
      </c>
      <c r="N118" s="19" t="n">
        <f aca="false">N117+I118*Допущения!$B$18</f>
        <v>0.248384014598296</v>
      </c>
      <c r="O118" s="19" t="n">
        <f aca="false">O117+G118+H118+I118</f>
        <v>7.50153536775594</v>
      </c>
      <c r="P118" s="17" t="n">
        <f aca="false">P117+F118</f>
        <v>0.102558148613761</v>
      </c>
      <c r="Q118" s="6" t="n">
        <f aca="false">MIN(MATCH(A118,$S$3:$X$3,1),5)</f>
        <v>4</v>
      </c>
    </row>
    <row r="119" customFormat="false" ht="15" hidden="false" customHeight="false" outlineLevel="0" collapsed="false">
      <c r="A119" s="6" t="n">
        <v>112</v>
      </c>
      <c r="B119" s="14" t="n">
        <f aca="false">INDEX($S$4:$X$4,Q119)*(INDEX($S$4:$X$4,Q119+1)/INDEX($S$4:$X$4,Q119))^((LN(A119)-LN(INDEX($S$3:$X$3,Q119)))/(LN(INDEX($S$3:$X$3,Q119+1))-LN(INDEX($S$3:$X$3,Q119))))</f>
        <v>0.0181706108545015</v>
      </c>
      <c r="C119" s="33" t="n">
        <f aca="false">C118+B119</f>
        <v>6.18600086533329</v>
      </c>
      <c r="D119" s="36" t="n">
        <f aca="false">Допущения!$B$19*(1-EXP(-Допущения!$B$26*(A119+1)))</f>
        <v>0.0099999294930677</v>
      </c>
      <c r="E119" s="37" t="n">
        <f aca="false">D119-D118</f>
        <v>7.80405298196618E-009</v>
      </c>
      <c r="F119" s="37" t="n">
        <f aca="false">D119*MIN(1,B119*Допущения!$B$21)</f>
        <v>0.000454262068477465</v>
      </c>
      <c r="G119" s="17" t="n">
        <f aca="false">((B119-F119*Допущения!$B$23)*Допущения!$B$13*Допущения!$B$15+B119*Допущения!$B$14*Допущения!$B$16)/1000</f>
        <v>0.0178735215399862</v>
      </c>
      <c r="H119" s="17" t="n">
        <f aca="false">E119*Допущения!$B$27</f>
        <v>7.29678953813838E-007</v>
      </c>
      <c r="I119" s="17" t="n">
        <f aca="false">F119*Допущения!$B$22/30*Допущения!$B$28</f>
        <v>0.00220034073885416</v>
      </c>
      <c r="J119" s="17" t="n">
        <f aca="false">G119*Допущения!$B$17+(H119+I119)*Допущения!$B$18</f>
        <v>0.0100372959788971</v>
      </c>
      <c r="K119" s="19" t="n">
        <f aca="false">K118+J119</f>
        <v>3.76080497985686</v>
      </c>
      <c r="L119" s="19" t="n">
        <f aca="false">L118+G119*Допущения!$B$17</f>
        <v>3.04382409108823</v>
      </c>
      <c r="M119" s="19" t="n">
        <f aca="false">M118+H119*Допущения!$B$18</f>
        <v>0.467496703800915</v>
      </c>
      <c r="N119" s="19" t="n">
        <f aca="false">N118+I119*Допущения!$B$18</f>
        <v>0.249484184967723</v>
      </c>
      <c r="O119" s="19" t="n">
        <f aca="false">O118+G119+H119+I119</f>
        <v>7.52160995971373</v>
      </c>
      <c r="P119" s="17" t="n">
        <f aca="false">P118+F119</f>
        <v>0.103012410682238</v>
      </c>
      <c r="Q119" s="6" t="n">
        <f aca="false">MIN(MATCH(A119,$S$3:$X$3,1),5)</f>
        <v>4</v>
      </c>
    </row>
    <row r="120" customFormat="false" ht="15" hidden="false" customHeight="false" outlineLevel="0" collapsed="false">
      <c r="A120" s="6" t="n">
        <v>113</v>
      </c>
      <c r="B120" s="14" t="n">
        <f aca="false">INDEX($S$4:$X$4,Q120)*(INDEX($S$4:$X$4,Q120+1)/INDEX($S$4:$X$4,Q120))^((LN(A120)-LN(INDEX($S$3:$X$3,Q120)))/(LN(INDEX($S$3:$X$3,Q120+1))-LN(INDEX($S$3:$X$3,Q120))))</f>
        <v>0.0180299162232664</v>
      </c>
      <c r="C120" s="33" t="n">
        <f aca="false">C119+B120</f>
        <v>6.20403078155656</v>
      </c>
      <c r="D120" s="36" t="n">
        <f aca="false">Допущения!$B$19*(1-EXP(-Допущения!$B$26*(A120+1)))</f>
        <v>0.0099999365194106</v>
      </c>
      <c r="E120" s="37" t="n">
        <f aca="false">D120-D119</f>
        <v>7.02634289639903E-009</v>
      </c>
      <c r="F120" s="37" t="n">
        <f aca="false">D120*MIN(1,B120*Допущения!$B$21)</f>
        <v>0.000450745044207389</v>
      </c>
      <c r="G120" s="17" t="n">
        <f aca="false">((B120-F120*Допущения!$B$23)*Допущения!$B$13*Допущения!$B$15+B120*Допущения!$B$14*Допущения!$B$16)/1000</f>
        <v>0.0177351272475302</v>
      </c>
      <c r="H120" s="17" t="n">
        <f aca="false">E120*Допущения!$B$27</f>
        <v>6.56963060813309E-007</v>
      </c>
      <c r="I120" s="17" t="n">
        <f aca="false">F120*Допущения!$B$22/30*Допущения!$B$28</f>
        <v>0.0021833050840681</v>
      </c>
      <c r="J120" s="17" t="n">
        <f aca="false">G120*Допущения!$B$17+(H120+I120)*Допущения!$B$18</f>
        <v>0.00995954464732958</v>
      </c>
      <c r="K120" s="19" t="n">
        <f aca="false">K119+J120</f>
        <v>3.77076452450419</v>
      </c>
      <c r="L120" s="19" t="n">
        <f aca="false">L119+G120*Допущения!$B$17</f>
        <v>3.05269165471199</v>
      </c>
      <c r="M120" s="19" t="n">
        <f aca="false">M119+H120*Допущения!$B$18</f>
        <v>0.467497032282446</v>
      </c>
      <c r="N120" s="19" t="n">
        <f aca="false">N119+I120*Допущения!$B$18</f>
        <v>0.250575837509757</v>
      </c>
      <c r="O120" s="19" t="n">
        <f aca="false">O119+G120+H120+I120</f>
        <v>7.54152904900839</v>
      </c>
      <c r="P120" s="17" t="n">
        <f aca="false">P119+F120</f>
        <v>0.103463155726446</v>
      </c>
      <c r="Q120" s="6" t="n">
        <f aca="false">MIN(MATCH(A120,$S$3:$X$3,1),5)</f>
        <v>4</v>
      </c>
    </row>
    <row r="121" customFormat="false" ht="15" hidden="false" customHeight="false" outlineLevel="0" collapsed="false">
      <c r="A121" s="6" t="n">
        <v>114</v>
      </c>
      <c r="B121" s="14" t="n">
        <f aca="false">INDEX($S$4:$X$4,Q121)*(INDEX($S$4:$X$4,Q121+1)/INDEX($S$4:$X$4,Q121))^((LN(A121)-LN(INDEX($S$3:$X$3,Q121)))/(LN(INDEX($S$3:$X$3,Q121+1))-LN(INDEX($S$3:$X$3,Q121))))</f>
        <v>0.0178915362730773</v>
      </c>
      <c r="C121" s="33" t="n">
        <f aca="false">C120+B121</f>
        <v>6.22192231782964</v>
      </c>
      <c r="D121" s="36" t="n">
        <f aca="false">Допущения!$B$19*(1-EXP(-Допущения!$B$26*(A121+1)))</f>
        <v>0.00999994284554583</v>
      </c>
      <c r="E121" s="37" t="n">
        <f aca="false">D121-D120</f>
        <v>6.32613523197934E-009</v>
      </c>
      <c r="F121" s="37" t="n">
        <f aca="false">D121*MIN(1,B121*Допущения!$B$21)</f>
        <v>0.000447285850374458</v>
      </c>
      <c r="G121" s="17" t="n">
        <f aca="false">((B121-F121*Допущения!$B$23)*Допущения!$B$13*Допущения!$B$15+B121*Допущения!$B$14*Допущения!$B$16)/1000</f>
        <v>0.017599009793061</v>
      </c>
      <c r="H121" s="17" t="n">
        <f aca="false">E121*Допущения!$B$27</f>
        <v>5.91493644190068E-007</v>
      </c>
      <c r="I121" s="17" t="n">
        <f aca="false">F121*Допущения!$B$22/30*Допущения!$B$28</f>
        <v>0.00216654954658793</v>
      </c>
      <c r="J121" s="17" t="n">
        <f aca="false">G121*Допущения!$B$17+(H121+I121)*Допущения!$B$18</f>
        <v>0.00988307541664654</v>
      </c>
      <c r="K121" s="19" t="n">
        <f aca="false">K120+J121</f>
        <v>3.78064759992084</v>
      </c>
      <c r="L121" s="19" t="n">
        <f aca="false">L120+G121*Допущения!$B$17</f>
        <v>3.06149115960852</v>
      </c>
      <c r="M121" s="19" t="n">
        <f aca="false">M120+H121*Допущения!$B$18</f>
        <v>0.467497328029268</v>
      </c>
      <c r="N121" s="19" t="n">
        <f aca="false">N120+I121*Допущения!$B$18</f>
        <v>0.251659112283051</v>
      </c>
      <c r="O121" s="19" t="n">
        <f aca="false">O120+G121+H121+I121</f>
        <v>7.56129519984168</v>
      </c>
      <c r="P121" s="17" t="n">
        <f aca="false">P120+F121</f>
        <v>0.10391044157682</v>
      </c>
      <c r="Q121" s="6" t="n">
        <f aca="false">MIN(MATCH(A121,$S$3:$X$3,1),5)</f>
        <v>4</v>
      </c>
    </row>
    <row r="122" customFormat="false" ht="15" hidden="false" customHeight="false" outlineLevel="0" collapsed="false">
      <c r="A122" s="6" t="n">
        <v>115</v>
      </c>
      <c r="B122" s="14" t="n">
        <f aca="false">INDEX($S$4:$X$4,Q122)*(INDEX($S$4:$X$4,Q122+1)/INDEX($S$4:$X$4,Q122))^((LN(A122)-LN(INDEX($S$3:$X$3,Q122)))/(LN(INDEX($S$3:$X$3,Q122+1))-LN(INDEX($S$3:$X$3,Q122))))</f>
        <v>0.0177554131158192</v>
      </c>
      <c r="C122" s="33" t="n">
        <f aca="false">C121+B122</f>
        <v>6.23967773094546</v>
      </c>
      <c r="D122" s="36" t="n">
        <f aca="false">Допущения!$B$19*(1-EXP(-Допущения!$B$26*(A122+1)))</f>
        <v>0.00999994854125233</v>
      </c>
      <c r="E122" s="37" t="n">
        <f aca="false">D122-D121</f>
        <v>5.69570650539586E-009</v>
      </c>
      <c r="F122" s="37" t="n">
        <f aca="false">D122*MIN(1,B122*Допущения!$B$21)</f>
        <v>0.000443883043717171</v>
      </c>
      <c r="G122" s="17" t="n">
        <f aca="false">((B122-F122*Допущения!$B$23)*Допущения!$B$13*Допущения!$B$15+B122*Допущения!$B$14*Допущения!$B$16)/1000</f>
        <v>0.0174651122347211</v>
      </c>
      <c r="H122" s="17" t="n">
        <f aca="false">E122*Допущения!$B$27</f>
        <v>5.32548558254513E-007</v>
      </c>
      <c r="I122" s="17" t="n">
        <f aca="false">F122*Допущения!$B$22/30*Допущения!$B$28</f>
        <v>0.00215006713558767</v>
      </c>
      <c r="J122" s="17" t="n">
        <f aca="false">G122*Допущения!$B$17+(H122+I122)*Допущения!$B$18</f>
        <v>0.00980785595943353</v>
      </c>
      <c r="K122" s="19" t="n">
        <f aca="false">K121+J122</f>
        <v>3.79045545588027</v>
      </c>
      <c r="L122" s="19" t="n">
        <f aca="false">L121+G122*Допущения!$B$17</f>
        <v>3.07022371572588</v>
      </c>
      <c r="M122" s="19" t="n">
        <f aca="false">M121+H122*Допущения!$B$18</f>
        <v>0.467497594303547</v>
      </c>
      <c r="N122" s="19" t="n">
        <f aca="false">N121+I122*Допущения!$B$18</f>
        <v>0.252734145850845</v>
      </c>
      <c r="O122" s="19" t="n">
        <f aca="false">O121+G122+H122+I122</f>
        <v>7.58091091176055</v>
      </c>
      <c r="P122" s="17" t="n">
        <f aca="false">P121+F122</f>
        <v>0.104354324620537</v>
      </c>
      <c r="Q122" s="6" t="n">
        <f aca="false">MIN(MATCH(A122,$S$3:$X$3,1),5)</f>
        <v>4</v>
      </c>
    </row>
    <row r="123" customFormat="false" ht="15" hidden="false" customHeight="false" outlineLevel="0" collapsed="false">
      <c r="A123" s="6" t="n">
        <v>116</v>
      </c>
      <c r="B123" s="14" t="n">
        <f aca="false">INDEX($S$4:$X$4,Q123)*(INDEX($S$4:$X$4,Q123+1)/INDEX($S$4:$X$4,Q123))^((LN(A123)-LN(INDEX($S$3:$X$3,Q123)))/(LN(INDEX($S$3:$X$3,Q123+1))-LN(INDEX($S$3:$X$3,Q123))))</f>
        <v>0.0176214907979286</v>
      </c>
      <c r="C123" s="33" t="n">
        <f aca="false">C122+B123</f>
        <v>6.25729922174339</v>
      </c>
      <c r="D123" s="36" t="n">
        <f aca="false">Допущения!$B$19*(1-EXP(-Допущения!$B$26*(A123+1)))</f>
        <v>0.00999995366935527</v>
      </c>
      <c r="E123" s="37" t="n">
        <f aca="false">D123-D122</f>
        <v>5.12810293187838E-009</v>
      </c>
      <c r="F123" s="37" t="n">
        <f aca="false">D123*MIN(1,B123*Допущения!$B$21)</f>
        <v>0.000440535228910641</v>
      </c>
      <c r="G123" s="17" t="n">
        <f aca="false">((B123-F123*Допущения!$B$23)*Допущения!$B$13*Допущения!$B$15+B123*Допущения!$B$14*Допущения!$B$16)/1000</f>
        <v>0.0173333795335985</v>
      </c>
      <c r="H123" s="17" t="n">
        <f aca="false">E123*Допущения!$B$27</f>
        <v>4.79477624130628E-007</v>
      </c>
      <c r="I123" s="17" t="n">
        <f aca="false">F123*Допущения!$B$22/30*Допущения!$B$28</f>
        <v>0.00213385109243523</v>
      </c>
      <c r="J123" s="17" t="n">
        <f aca="false">G123*Допущения!$B$17+(H123+I123)*Допущения!$B$18</f>
        <v>0.00973385505182893</v>
      </c>
      <c r="K123" s="19" t="n">
        <f aca="false">K122+J123</f>
        <v>3.8001893109321</v>
      </c>
      <c r="L123" s="19" t="n">
        <f aca="false">L122+G123*Допущения!$B$17</f>
        <v>3.07889040549268</v>
      </c>
      <c r="M123" s="19" t="n">
        <f aca="false">M122+H123*Допущения!$B$18</f>
        <v>0.467497834042359</v>
      </c>
      <c r="N123" s="19" t="n">
        <f aca="false">N122+I123*Допущения!$B$18</f>
        <v>0.253801071397063</v>
      </c>
      <c r="O123" s="19" t="n">
        <f aca="false">O122+G123+H123+I123</f>
        <v>7.60037862186421</v>
      </c>
      <c r="P123" s="17" t="n">
        <f aca="false">P122+F123</f>
        <v>0.104794859849448</v>
      </c>
      <c r="Q123" s="6" t="n">
        <f aca="false">MIN(MATCH(A123,$S$3:$X$3,1),5)</f>
        <v>4</v>
      </c>
    </row>
    <row r="124" customFormat="false" ht="15" hidden="false" customHeight="false" outlineLevel="0" collapsed="false">
      <c r="A124" s="6" t="n">
        <v>117</v>
      </c>
      <c r="B124" s="14" t="n">
        <f aca="false">INDEX($S$4:$X$4,Q124)*(INDEX($S$4:$X$4,Q124+1)/INDEX($S$4:$X$4,Q124))^((LN(A124)-LN(INDEX($S$3:$X$3,Q124)))/(LN(INDEX($S$3:$X$3,Q124+1))-LN(INDEX($S$3:$X$3,Q124))))</f>
        <v>0.0174897152197529</v>
      </c>
      <c r="C124" s="33" t="n">
        <f aca="false">C123+B124</f>
        <v>6.27478893696314</v>
      </c>
      <c r="D124" s="36" t="n">
        <f aca="false">Допущения!$B$19*(1-EXP(-Допущения!$B$26*(A124+1)))</f>
        <v>0.00999995828641895</v>
      </c>
      <c r="E124" s="37" t="n">
        <f aca="false">D124-D123</f>
        <v>4.61706368276582E-009</v>
      </c>
      <c r="F124" s="37" t="n">
        <f aca="false">D124*MIN(1,B124*Допущения!$B$21)</f>
        <v>0.00043724105659719</v>
      </c>
      <c r="G124" s="17" t="n">
        <f aca="false">((B124-F124*Допущения!$B$23)*Допущения!$B$13*Допущения!$B$15+B124*Допущения!$B$14*Допущения!$B$16)/1000</f>
        <v>0.0172037584744004</v>
      </c>
      <c r="H124" s="17" t="n">
        <f aca="false">E124*Допущения!$B$27</f>
        <v>4.31695454338604E-007</v>
      </c>
      <c r="I124" s="17" t="n">
        <f aca="false">F124*Допущения!$B$22/30*Допущения!$B$28</f>
        <v>0.00211789488115309</v>
      </c>
      <c r="J124" s="17" t="n">
        <f aca="false">G124*Допущения!$B$17+(H124+I124)*Допущения!$B$18</f>
        <v>0.00966104252550391</v>
      </c>
      <c r="K124" s="19" t="n">
        <f aca="false">K123+J124</f>
        <v>3.80985035345761</v>
      </c>
      <c r="L124" s="19" t="n">
        <f aca="false">L123+G124*Допущения!$B$17</f>
        <v>3.08749228472988</v>
      </c>
      <c r="M124" s="19" t="n">
        <f aca="false">M123+H124*Допущения!$B$18</f>
        <v>0.467498049890086</v>
      </c>
      <c r="N124" s="19" t="n">
        <f aca="false">N123+I124*Допущения!$B$18</f>
        <v>0.254860018837639</v>
      </c>
      <c r="O124" s="19" t="n">
        <f aca="false">O123+G124+H124+I124</f>
        <v>7.61970070691522</v>
      </c>
      <c r="P124" s="17" t="n">
        <f aca="false">P123+F124</f>
        <v>0.105232100906045</v>
      </c>
      <c r="Q124" s="6" t="n">
        <f aca="false">MIN(MATCH(A124,$S$3:$X$3,1),5)</f>
        <v>4</v>
      </c>
    </row>
    <row r="125" customFormat="false" ht="15" hidden="false" customHeight="false" outlineLevel="0" collapsed="false">
      <c r="A125" s="6" t="n">
        <v>118</v>
      </c>
      <c r="B125" s="14" t="n">
        <f aca="false">INDEX($S$4:$X$4,Q125)*(INDEX($S$4:$X$4,Q125+1)/INDEX($S$4:$X$4,Q125))^((LN(A125)-LN(INDEX($S$3:$X$3,Q125)))/(LN(INDEX($S$3:$X$3,Q125+1))-LN(INDEX($S$3:$X$3,Q125))))</f>
        <v>0.0173600340589256</v>
      </c>
      <c r="C125" s="33" t="n">
        <f aca="false">C124+B125</f>
        <v>6.29214897102206</v>
      </c>
      <c r="D125" s="36" t="n">
        <f aca="false">Допущения!$B$19*(1-EXP(-Допущения!$B$26*(A125+1)))</f>
        <v>0.00999996244337082</v>
      </c>
      <c r="E125" s="37" t="n">
        <f aca="false">D125-D124</f>
        <v>4.15695186779808E-009</v>
      </c>
      <c r="F125" s="37" t="n">
        <f aca="false">D125*MIN(1,B125*Допущения!$B$21)</f>
        <v>0.000433999221512236</v>
      </c>
      <c r="G125" s="17" t="n">
        <f aca="false">((B125-F125*Допущения!$B$23)*Допущения!$B$13*Допущения!$B$15+B125*Допущения!$B$14*Допущения!$B$16)/1000</f>
        <v>0.0170761975900801</v>
      </c>
      <c r="H125" s="17" t="n">
        <f aca="false">E125*Допущения!$B$27</f>
        <v>3.8867499963912E-007</v>
      </c>
      <c r="I125" s="17" t="n">
        <f aca="false">F125*Допущения!$B$22/30*Допущения!$B$28</f>
        <v>0.0021021921793405</v>
      </c>
      <c r="J125" s="17" t="n">
        <f aca="false">G125*Допущения!$B$17+(H125+I125)*Допущения!$B$18</f>
        <v>0.0095893892222101</v>
      </c>
      <c r="K125" s="19" t="n">
        <f aca="false">K124+J125</f>
        <v>3.81943974267982</v>
      </c>
      <c r="L125" s="19" t="n">
        <f aca="false">L124+G125*Допущения!$B$17</f>
        <v>3.09603038352492</v>
      </c>
      <c r="M125" s="19" t="n">
        <f aca="false">M124+H125*Допущения!$B$18</f>
        <v>0.467498244227586</v>
      </c>
      <c r="N125" s="19" t="n">
        <f aca="false">N124+I125*Допущения!$B$18</f>
        <v>0.255911114927309</v>
      </c>
      <c r="O125" s="19" t="n">
        <f aca="false">O124+G125+H125+I125</f>
        <v>7.63887948535964</v>
      </c>
      <c r="P125" s="17" t="n">
        <f aca="false">P124+F125</f>
        <v>0.105666100127557</v>
      </c>
      <c r="Q125" s="6" t="n">
        <f aca="false">MIN(MATCH(A125,$S$3:$X$3,1),5)</f>
        <v>4</v>
      </c>
    </row>
    <row r="126" customFormat="false" ht="15" hidden="false" customHeight="false" outlineLevel="0" collapsed="false">
      <c r="A126" s="6" t="n">
        <v>119</v>
      </c>
      <c r="B126" s="14" t="n">
        <f aca="false">INDEX($S$4:$X$4,Q126)*(INDEX($S$4:$X$4,Q126+1)/INDEX($S$4:$X$4,Q126))^((LN(A126)-LN(INDEX($S$3:$X$3,Q126)))/(LN(INDEX($S$3:$X$3,Q126+1))-LN(INDEX($S$3:$X$3,Q126))))</f>
        <v>0.0172323966975264</v>
      </c>
      <c r="C126" s="33" t="n">
        <f aca="false">C125+B126</f>
        <v>6.30938136771959</v>
      </c>
      <c r="D126" s="36" t="n">
        <f aca="false">Допущения!$B$19*(1-EXP(-Допущения!$B$26*(A126+1)))</f>
        <v>0.00999996618606315</v>
      </c>
      <c r="E126" s="37" t="n">
        <f aca="false">D126-D125</f>
        <v>3.74269232966684E-009</v>
      </c>
      <c r="F126" s="37" t="n">
        <f aca="false">D126*MIN(1,B126*Допущения!$B$21)</f>
        <v>0.000430808460700225</v>
      </c>
      <c r="G126" s="17" t="n">
        <f aca="false">((B126-F126*Допущения!$B$23)*Допущения!$B$13*Допущения!$B$15+B126*Допущения!$B$14*Допущения!$B$16)/1000</f>
        <v>0.0169506470901857</v>
      </c>
      <c r="H126" s="17" t="n">
        <f aca="false">E126*Допущения!$B$27</f>
        <v>3.4994173282385E-007</v>
      </c>
      <c r="I126" s="17" t="n">
        <f aca="false">F126*Допущения!$B$22/30*Допущения!$B$28</f>
        <v>0.00208673686953192</v>
      </c>
      <c r="J126" s="17" t="n">
        <f aca="false">G126*Допущения!$B$17+(H126+I126)*Допущения!$B$18</f>
        <v>0.00951886695072522</v>
      </c>
      <c r="K126" s="19" t="n">
        <f aca="false">K125+J126</f>
        <v>3.82895860963054</v>
      </c>
      <c r="L126" s="19" t="n">
        <f aca="false">L125+G126*Допущения!$B$17</f>
        <v>3.10450570707001</v>
      </c>
      <c r="M126" s="19" t="n">
        <f aca="false">M125+H126*Допущения!$B$18</f>
        <v>0.467498419198452</v>
      </c>
      <c r="N126" s="19" t="n">
        <f aca="false">N125+I126*Допущения!$B$18</f>
        <v>0.256954483362075</v>
      </c>
      <c r="O126" s="19" t="n">
        <f aca="false">O125+G126+H126+I126</f>
        <v>7.65791721926109</v>
      </c>
      <c r="P126" s="17" t="n">
        <f aca="false">P125+F126</f>
        <v>0.106096908588258</v>
      </c>
      <c r="Q126" s="6" t="n">
        <f aca="false">MIN(MATCH(A126,$S$3:$X$3,1),5)</f>
        <v>4</v>
      </c>
    </row>
    <row r="127" customFormat="false" ht="15" hidden="false" customHeight="false" outlineLevel="0" collapsed="false">
      <c r="A127" s="6" t="n">
        <v>120</v>
      </c>
      <c r="B127" s="14" t="n">
        <f aca="false">INDEX($S$4:$X$4,Q127)*(INDEX($S$4:$X$4,Q127+1)/INDEX($S$4:$X$4,Q127))^((LN(A127)-LN(INDEX($S$3:$X$3,Q127)))/(LN(INDEX($S$3:$X$3,Q127+1))-LN(INDEX($S$3:$X$3,Q127))))</f>
        <v>0.0171067541528093</v>
      </c>
      <c r="C127" s="33" t="n">
        <f aca="false">C126+B127</f>
        <v>6.3264881218724</v>
      </c>
      <c r="D127" s="36" t="n">
        <f aca="false">Допущения!$B$19*(1-EXP(-Допущения!$B$26*(A127+1)))</f>
        <v>0.00999996955577882</v>
      </c>
      <c r="E127" s="37" t="n">
        <f aca="false">D127-D126</f>
        <v>3.36971567663213E-009</v>
      </c>
      <c r="F127" s="37" t="n">
        <f aca="false">D127*MIN(1,B127*Допущения!$B$21)</f>
        <v>0.000427667551815716</v>
      </c>
      <c r="G127" s="17" t="n">
        <f aca="false">((B127-F127*Допущения!$B$23)*Допущения!$B$13*Допущения!$B$15+B127*Допущения!$B$14*Допущения!$B$16)/1000</f>
        <v>0.0168270587927191</v>
      </c>
      <c r="H127" s="17" t="n">
        <f aca="false">E127*Допущения!$B$27</f>
        <v>3.15068415765105E-007</v>
      </c>
      <c r="I127" s="17" t="n">
        <f aca="false">F127*Допущения!$B$22/30*Допущения!$B$28</f>
        <v>0.0020715230309678</v>
      </c>
      <c r="J127" s="17" t="n">
        <f aca="false">G127*Допущения!$B$17+(H127+I127)*Допущения!$B$18</f>
        <v>0.00944944844605135</v>
      </c>
      <c r="K127" s="19" t="n">
        <f aca="false">K126+J127</f>
        <v>3.83840805807659</v>
      </c>
      <c r="L127" s="19" t="n">
        <f aca="false">L126+G127*Допущения!$B$17</f>
        <v>3.11291923646637</v>
      </c>
      <c r="M127" s="19" t="n">
        <f aca="false">M126+H127*Допущения!$B$18</f>
        <v>0.46749857673266</v>
      </c>
      <c r="N127" s="19" t="n">
        <f aca="false">N126+I127*Допущения!$B$18</f>
        <v>0.257990244877559</v>
      </c>
      <c r="O127" s="19" t="n">
        <f aca="false">O126+G127+H127+I127</f>
        <v>7.67681611615319</v>
      </c>
      <c r="P127" s="17" t="n">
        <f aca="false">P126+F127</f>
        <v>0.106524576140073</v>
      </c>
      <c r="Q127" s="6" t="n">
        <f aca="false">MIN(MATCH(A127,$S$3:$X$3,1),5)</f>
        <v>4</v>
      </c>
    </row>
    <row r="128" customFormat="false" ht="15" hidden="false" customHeight="false" outlineLevel="0" collapsed="false">
      <c r="A128" s="6" t="n">
        <v>121</v>
      </c>
      <c r="B128" s="14" t="n">
        <f aca="false">INDEX($S$4:$X$4,Q128)*(INDEX($S$4:$X$4,Q128+1)/INDEX($S$4:$X$4,Q128))^((LN(A128)-LN(INDEX($S$3:$X$3,Q128)))/(LN(INDEX($S$3:$X$3,Q128+1))-LN(INDEX($S$3:$X$3,Q128))))</f>
        <v>0.0169830590112954</v>
      </c>
      <c r="C128" s="33" t="n">
        <f aca="false">C127+B128</f>
        <v>6.3434711808837</v>
      </c>
      <c r="D128" s="36" t="n">
        <f aca="false">Допущения!$B$19*(1-EXP(-Допущения!$B$26*(A128+1)))</f>
        <v>0.0099999725896867</v>
      </c>
      <c r="E128" s="37" t="n">
        <f aca="false">D128-D127</f>
        <v>3.03390787492752E-009</v>
      </c>
      <c r="F128" s="37" t="n">
        <f aca="false">D128*MIN(1,B128*Допущения!$B$21)</f>
        <v>0.000424575311504964</v>
      </c>
      <c r="G128" s="17" t="n">
        <f aca="false">((B128-F128*Допущения!$B$23)*Допущения!$B$13*Допущения!$B$15+B128*Допущения!$B$14*Допущения!$B$16)/1000</f>
        <v>0.0167053860593047</v>
      </c>
      <c r="H128" s="17" t="n">
        <f aca="false">E128*Допущения!$B$27</f>
        <v>2.83670386305723E-007</v>
      </c>
      <c r="I128" s="17" t="n">
        <f aca="false">F128*Допущения!$B$22/30*Допущения!$B$28</f>
        <v>0.00205654493175543</v>
      </c>
      <c r="J128" s="17" t="n">
        <f aca="false">G128*Допущения!$B$17+(H128+I128)*Допущения!$B$18</f>
        <v>0.00938110733072321</v>
      </c>
      <c r="K128" s="19" t="n">
        <f aca="false">K127+J128</f>
        <v>3.84778916540732</v>
      </c>
      <c r="L128" s="19" t="n">
        <f aca="false">L127+G128*Допущения!$B$17</f>
        <v>3.12127192949602</v>
      </c>
      <c r="M128" s="19" t="n">
        <f aca="false">M127+H128*Допущения!$B$18</f>
        <v>0.467498718567853</v>
      </c>
      <c r="N128" s="19" t="n">
        <f aca="false">N127+I128*Допущения!$B$18</f>
        <v>0.259018517343437</v>
      </c>
      <c r="O128" s="19" t="n">
        <f aca="false">O127+G128+H128+I128</f>
        <v>7.69557833081464</v>
      </c>
      <c r="P128" s="17" t="n">
        <f aca="false">P127+F128</f>
        <v>0.106949151451578</v>
      </c>
      <c r="Q128" s="6" t="n">
        <f aca="false">MIN(MATCH(A128,$S$3:$X$3,1),5)</f>
        <v>4</v>
      </c>
    </row>
    <row r="129" customFormat="false" ht="15" hidden="false" customHeight="false" outlineLevel="0" collapsed="false">
      <c r="A129" s="6" t="n">
        <v>122</v>
      </c>
      <c r="B129" s="14" t="n">
        <f aca="false">INDEX($S$4:$X$4,Q129)*(INDEX($S$4:$X$4,Q129+1)/INDEX($S$4:$X$4,Q129))^((LN(A129)-LN(INDEX($S$3:$X$3,Q129)))/(LN(INDEX($S$3:$X$3,Q129+1))-LN(INDEX($S$3:$X$3,Q129))))</f>
        <v>0.0168612653660405</v>
      </c>
      <c r="C129" s="33" t="n">
        <f aca="false">C128+B129</f>
        <v>6.36033244624974</v>
      </c>
      <c r="D129" s="36" t="n">
        <f aca="false">Допущения!$B$19*(1-EXP(-Допущения!$B$26*(A129+1)))</f>
        <v>0.00999997532125158</v>
      </c>
      <c r="E129" s="37" t="n">
        <f aca="false">D129-D128</f>
        <v>2.73156488227178E-009</v>
      </c>
      <c r="F129" s="37" t="n">
        <f aca="false">D129*MIN(1,B129*Допущения!$B$21)</f>
        <v>0.000421530593863698</v>
      </c>
      <c r="G129" s="17" t="n">
        <f aca="false">((B129-F129*Допущения!$B$23)*Допущения!$B$13*Допущения!$B$15+B129*Допущения!$B$14*Допущения!$B$16)/1000</f>
        <v>0.0165855837334813</v>
      </c>
      <c r="H129" s="17" t="n">
        <f aca="false">E129*Допущения!$B$27</f>
        <v>2.55401316492411E-007</v>
      </c>
      <c r="I129" s="17" t="n">
        <f aca="false">F129*Допущения!$B$22/30*Допущения!$B$28</f>
        <v>0.00204179702139866</v>
      </c>
      <c r="J129" s="17" t="n">
        <f aca="false">G129*Допущения!$B$17+(H129+I129)*Допущения!$B$18</f>
        <v>0.00931381807809821</v>
      </c>
      <c r="K129" s="19" t="n">
        <f aca="false">K128+J129</f>
        <v>3.85710298348541</v>
      </c>
      <c r="L129" s="19" t="n">
        <f aca="false">L128+G129*Допущения!$B$17</f>
        <v>3.12956472136277</v>
      </c>
      <c r="M129" s="19" t="n">
        <f aca="false">M128+H129*Допущения!$B$18</f>
        <v>0.467498846268512</v>
      </c>
      <c r="N129" s="19" t="n">
        <f aca="false">N128+I129*Допущения!$B$18</f>
        <v>0.260039415854136</v>
      </c>
      <c r="O129" s="19" t="n">
        <f aca="false">O128+G129+H129+I129</f>
        <v>7.71420596697083</v>
      </c>
      <c r="P129" s="17" t="n">
        <f aca="false">P128+F129</f>
        <v>0.107370682045442</v>
      </c>
      <c r="Q129" s="6" t="n">
        <f aca="false">MIN(MATCH(A129,$S$3:$X$3,1),5)</f>
        <v>4</v>
      </c>
    </row>
    <row r="130" customFormat="false" ht="15" hidden="false" customHeight="false" outlineLevel="0" collapsed="false">
      <c r="A130" s="6" t="n">
        <v>123</v>
      </c>
      <c r="B130" s="14" t="n">
        <f aca="false">INDEX($S$4:$X$4,Q130)*(INDEX($S$4:$X$4,Q130+1)/INDEX($S$4:$X$4,Q130))^((LN(A130)-LN(INDEX($S$3:$X$3,Q130)))/(LN(INDEX($S$3:$X$3,Q130+1))-LN(INDEX($S$3:$X$3,Q130))))</f>
        <v>0.0167413287569011</v>
      </c>
      <c r="C130" s="33" t="n">
        <f aca="false">C129+B130</f>
        <v>6.37707377500664</v>
      </c>
      <c r="D130" s="36" t="n">
        <f aca="false">Допущения!$B$19*(1-EXP(-Допущения!$B$26*(A130+1)))</f>
        <v>0.00999997778060335</v>
      </c>
      <c r="E130" s="37" t="n">
        <f aca="false">D130-D129</f>
        <v>2.45935176911016E-009</v>
      </c>
      <c r="F130" s="37" t="n">
        <f aca="false">D130*MIN(1,B130*Допущения!$B$21)</f>
        <v>0.000418532288966966</v>
      </c>
      <c r="G130" s="17" t="n">
        <f aca="false">((B130-F130*Допущения!$B$23)*Допущения!$B$13*Допущения!$B$15+B130*Допущения!$B$14*Допущения!$B$16)/1000</f>
        <v>0.0164676080819433</v>
      </c>
      <c r="H130" s="17" t="n">
        <f aca="false">E130*Допущения!$B$27</f>
        <v>2.299493904118E-007</v>
      </c>
      <c r="I130" s="17" t="n">
        <f aca="false">F130*Допущения!$B$22/30*Допущения!$B$28</f>
        <v>0.00202727392367691</v>
      </c>
      <c r="J130" s="17" t="n">
        <f aca="false">G130*Допущения!$B$17+(H130+I130)*Допущения!$B$18</f>
        <v>0.00924755597750532</v>
      </c>
      <c r="K130" s="19" t="n">
        <f aca="false">K129+J130</f>
        <v>3.86635053946292</v>
      </c>
      <c r="L130" s="19" t="n">
        <f aca="false">L129+G130*Допущения!$B$17</f>
        <v>3.13779852540374</v>
      </c>
      <c r="M130" s="19" t="n">
        <f aca="false">M129+H130*Допущения!$B$18</f>
        <v>0.467498961243207</v>
      </c>
      <c r="N130" s="19" t="n">
        <f aca="false">N129+I130*Допущения!$B$18</f>
        <v>0.261053052815975</v>
      </c>
      <c r="O130" s="19" t="n">
        <f aca="false">O129+G130+H130+I130</f>
        <v>7.73270107892584</v>
      </c>
      <c r="P130" s="17" t="n">
        <f aca="false">P129+F130</f>
        <v>0.107789214334409</v>
      </c>
      <c r="Q130" s="6" t="n">
        <f aca="false">MIN(MATCH(A130,$S$3:$X$3,1),5)</f>
        <v>4</v>
      </c>
    </row>
    <row r="131" customFormat="false" ht="15" hidden="false" customHeight="false" outlineLevel="0" collapsed="false">
      <c r="A131" s="6" t="n">
        <v>124</v>
      </c>
      <c r="B131" s="14" t="n">
        <f aca="false">INDEX($S$4:$X$4,Q131)*(INDEX($S$4:$X$4,Q131+1)/INDEX($S$4:$X$4,Q131))^((LN(A131)-LN(INDEX($S$3:$X$3,Q131)))/(LN(INDEX($S$3:$X$3,Q131+1))-LN(INDEX($S$3:$X$3,Q131))))</f>
        <v>0.0166232061136307</v>
      </c>
      <c r="C131" s="33" t="n">
        <f aca="false">C130+B131</f>
        <v>6.39369698112027</v>
      </c>
      <c r="D131" s="36" t="n">
        <f aca="false">Допущения!$B$19*(1-EXP(-Допущения!$B$26*(A131+1)))</f>
        <v>0.0099999799948693</v>
      </c>
      <c r="E131" s="37" t="n">
        <f aca="false">D131-D130</f>
        <v>2.21426595461982E-009</v>
      </c>
      <c r="F131" s="37" t="n">
        <f aca="false">D131*MIN(1,B131*Допущения!$B$21)</f>
        <v>0.000415579321467241</v>
      </c>
      <c r="G131" s="17" t="n">
        <f aca="false">((B131-F131*Допущения!$B$23)*Допущения!$B$13*Допущения!$B$15+B131*Допущения!$B$14*Допущения!$B$16)/1000</f>
        <v>0.016351416738567</v>
      </c>
      <c r="H131" s="17" t="n">
        <f aca="false">E131*Допущения!$B$27</f>
        <v>2.07033866756953E-007</v>
      </c>
      <c r="I131" s="17" t="n">
        <f aca="false">F131*Допущения!$B$22/30*Допущения!$B$28</f>
        <v>0.00201297042985464</v>
      </c>
      <c r="J131" s="17" t="n">
        <f aca="false">G131*Допущения!$B$17+(H131+I131)*Допущения!$B$18</f>
        <v>0.00918229710114422</v>
      </c>
      <c r="K131" s="19" t="n">
        <f aca="false">K130+J131</f>
        <v>3.87553283656406</v>
      </c>
      <c r="L131" s="19" t="n">
        <f aca="false">L130+G131*Допущения!$B$17</f>
        <v>3.14597423377302</v>
      </c>
      <c r="M131" s="19" t="n">
        <f aca="false">M130+H131*Допущения!$B$18</f>
        <v>0.46749906476014</v>
      </c>
      <c r="N131" s="19" t="n">
        <f aca="false">N130+I131*Допущения!$B$18</f>
        <v>0.262059538030902</v>
      </c>
      <c r="O131" s="19" t="n">
        <f aca="false">O130+G131+H131+I131</f>
        <v>7.75106567312813</v>
      </c>
      <c r="P131" s="17" t="n">
        <f aca="false">P130+F131</f>
        <v>0.108204793655876</v>
      </c>
      <c r="Q131" s="6" t="n">
        <f aca="false">MIN(MATCH(A131,$S$3:$X$3,1),5)</f>
        <v>4</v>
      </c>
    </row>
    <row r="132" customFormat="false" ht="15" hidden="false" customHeight="false" outlineLevel="0" collapsed="false">
      <c r="A132" s="6" t="n">
        <v>125</v>
      </c>
      <c r="B132" s="14" t="n">
        <f aca="false">INDEX($S$4:$X$4,Q132)*(INDEX($S$4:$X$4,Q132+1)/INDEX($S$4:$X$4,Q132))^((LN(A132)-LN(INDEX($S$3:$X$3,Q132)))/(LN(INDEX($S$3:$X$3,Q132+1))-LN(INDEX($S$3:$X$3,Q132))))</f>
        <v>0.0165068557016531</v>
      </c>
      <c r="C132" s="33" t="n">
        <f aca="false">C131+B132</f>
        <v>6.41020383682192</v>
      </c>
      <c r="D132" s="36" t="n">
        <f aca="false">Допущения!$B$19*(1-EXP(-Допущения!$B$26*(A132+1)))</f>
        <v>0.00999998198847339</v>
      </c>
      <c r="E132" s="37" t="n">
        <f aca="false">D132-D131</f>
        <v>1.99360408216498E-009</v>
      </c>
      <c r="F132" s="37" t="n">
        <f aca="false">D132*MIN(1,B132*Допущения!$B$21)</f>
        <v>0.00041267064925715</v>
      </c>
      <c r="G132" s="17" t="n">
        <f aca="false">((B132-F132*Допущения!$B$23)*Допущения!$B$13*Допущения!$B$15+B132*Допущения!$B$14*Допущения!$B$16)/1000</f>
        <v>0.0162369686510684</v>
      </c>
      <c r="H132" s="17" t="n">
        <f aca="false">E132*Допущения!$B$27</f>
        <v>1.86401981682426E-007</v>
      </c>
      <c r="I132" s="17" t="n">
        <f aca="false">F132*Допущения!$B$22/30*Допущения!$B$28</f>
        <v>0.00199888149220399</v>
      </c>
      <c r="J132" s="17" t="n">
        <f aca="false">G132*Допущения!$B$17+(H132+I132)*Допущения!$B$18</f>
        <v>0.00911801827262704</v>
      </c>
      <c r="K132" s="19" t="n">
        <f aca="false">K131+J132</f>
        <v>3.88465085483669</v>
      </c>
      <c r="L132" s="19" t="n">
        <f aca="false">L131+G132*Допущения!$B$17</f>
        <v>3.15409271809856</v>
      </c>
      <c r="M132" s="19" t="n">
        <f aca="false">M131+H132*Допущения!$B$18</f>
        <v>0.467499157961131</v>
      </c>
      <c r="N132" s="19" t="n">
        <f aca="false">N131+I132*Допущения!$B$18</f>
        <v>0.263058978777004</v>
      </c>
      <c r="O132" s="19" t="n">
        <f aca="false">O131+G132+H132+I132</f>
        <v>7.76930170967338</v>
      </c>
      <c r="P132" s="17" t="n">
        <f aca="false">P131+F132</f>
        <v>0.108617464305133</v>
      </c>
      <c r="Q132" s="6" t="n">
        <f aca="false">MIN(MATCH(A132,$S$3:$X$3,1),5)</f>
        <v>4</v>
      </c>
    </row>
    <row r="133" customFormat="false" ht="15" hidden="false" customHeight="false" outlineLevel="0" collapsed="false">
      <c r="A133" s="6" t="n">
        <v>126</v>
      </c>
      <c r="B133" s="14" t="n">
        <f aca="false">INDEX($S$4:$X$4,Q133)*(INDEX($S$4:$X$4,Q133+1)/INDEX($S$4:$X$4,Q133))^((LN(A133)-LN(INDEX($S$3:$X$3,Q133)))/(LN(INDEX($S$3:$X$3,Q133+1))-LN(INDEX($S$3:$X$3,Q133))))</f>
        <v>0.0163922370703634</v>
      </c>
      <c r="C133" s="33" t="n">
        <f aca="false">C132+B133</f>
        <v>6.42659607389228</v>
      </c>
      <c r="D133" s="36" t="n">
        <f aca="false">Допущения!$B$19*(1-EXP(-Допущения!$B$26*(A133+1)))</f>
        <v>0.00999998378340557</v>
      </c>
      <c r="E133" s="37" t="n">
        <f aca="false">D133-D132</f>
        <v>1.7949321837879E-009</v>
      </c>
      <c r="F133" s="37" t="n">
        <f aca="false">D133*MIN(1,B133*Допущения!$B$21)</f>
        <v>0.000409805262193435</v>
      </c>
      <c r="G133" s="17" t="n">
        <f aca="false">((B133-F133*Допущения!$B$23)*Допущения!$B$13*Допущения!$B$15+B133*Допущения!$B$14*Допущения!$B$16)/1000</f>
        <v>0.0161242240301496</v>
      </c>
      <c r="H133" s="17" t="n">
        <f aca="false">E133*Допущения!$B$27</f>
        <v>1.67826159184169E-007</v>
      </c>
      <c r="I133" s="17" t="n">
        <f aca="false">F133*Допущения!$B$22/30*Допущения!$B$28</f>
        <v>0.00198500221782387</v>
      </c>
      <c r="J133" s="17" t="n">
        <f aca="false">G133*Допущения!$B$17+(H133+I133)*Допущения!$B$18</f>
        <v>0.0090546970370663</v>
      </c>
      <c r="K133" s="19" t="n">
        <f aca="false">K132+J133</f>
        <v>3.89370555187376</v>
      </c>
      <c r="L133" s="19" t="n">
        <f aca="false">L132+G133*Допущения!$B$17</f>
        <v>3.16215483011363</v>
      </c>
      <c r="M133" s="19" t="n">
        <f aca="false">M132+H133*Допущения!$B$18</f>
        <v>0.467499241874211</v>
      </c>
      <c r="N133" s="19" t="n">
        <f aca="false">N132+I133*Допущения!$B$18</f>
        <v>0.264051479885916</v>
      </c>
      <c r="O133" s="19" t="n">
        <f aca="false">O132+G133+H133+I133</f>
        <v>7.78741110374752</v>
      </c>
      <c r="P133" s="17" t="n">
        <f aca="false">P132+F133</f>
        <v>0.109027269567327</v>
      </c>
      <c r="Q133" s="6" t="n">
        <f aca="false">MIN(MATCH(A133,$S$3:$X$3,1),5)</f>
        <v>4</v>
      </c>
    </row>
    <row r="134" customFormat="false" ht="15" hidden="false" customHeight="false" outlineLevel="0" collapsed="false">
      <c r="A134" s="6" t="n">
        <v>127</v>
      </c>
      <c r="B134" s="14" t="n">
        <f aca="false">INDEX($S$4:$X$4,Q134)*(INDEX($S$4:$X$4,Q134+1)/INDEX($S$4:$X$4,Q134))^((LN(A134)-LN(INDEX($S$3:$X$3,Q134)))/(LN(INDEX($S$3:$X$3,Q134+1))-LN(INDEX($S$3:$X$3,Q134))))</f>
        <v>0.0162793110038234</v>
      </c>
      <c r="C134" s="33" t="n">
        <f aca="false">C133+B134</f>
        <v>6.44287538489611</v>
      </c>
      <c r="D134" s="36" t="n">
        <f aca="false">Допущения!$B$19*(1-EXP(-Допущения!$B$26*(A134+1)))</f>
        <v>0.00999998539946444</v>
      </c>
      <c r="E134" s="37" t="n">
        <f aca="false">D134-D133</f>
        <v>1.61605886658811E-009</v>
      </c>
      <c r="F134" s="37" t="n">
        <f aca="false">D134*MIN(1,B134*Допущения!$B$21)</f>
        <v>0.000406982180878937</v>
      </c>
      <c r="G134" s="17" t="n">
        <f aca="false">((B134-F134*Допущения!$B$23)*Допущения!$B$13*Допущения!$B$15+B134*Допущения!$B$14*Допущения!$B$16)/1000</f>
        <v>0.0160131443009986</v>
      </c>
      <c r="H134" s="17" t="n">
        <f aca="false">E134*Допущения!$B$27</f>
        <v>1.51101504025988E-007</v>
      </c>
      <c r="I134" s="17" t="n">
        <f aca="false">F134*Допущения!$B$22/30*Допущения!$B$28</f>
        <v>0.00197132786274023</v>
      </c>
      <c r="J134" s="17" t="n">
        <f aca="false">G134*Допущения!$B$17+(H134+I134)*Допущения!$B$18</f>
        <v>0.00899231163262142</v>
      </c>
      <c r="K134" s="19" t="n">
        <f aca="false">K133+J134</f>
        <v>3.90269786350638</v>
      </c>
      <c r="L134" s="19" t="n">
        <f aca="false">L133+G134*Допущения!$B$17</f>
        <v>3.17016140226413</v>
      </c>
      <c r="M134" s="19" t="n">
        <f aca="false">M133+H134*Допущения!$B$18</f>
        <v>0.467499317424963</v>
      </c>
      <c r="N134" s="19" t="n">
        <f aca="false">N133+I134*Допущения!$B$18</f>
        <v>0.265037143817286</v>
      </c>
      <c r="O134" s="19" t="n">
        <f aca="false">O133+G134+H134+I134</f>
        <v>7.80539572701276</v>
      </c>
      <c r="P134" s="17" t="n">
        <f aca="false">P133+F134</f>
        <v>0.109434251748206</v>
      </c>
      <c r="Q134" s="6" t="n">
        <f aca="false">MIN(MATCH(A134,$S$3:$X$3,1),5)</f>
        <v>4</v>
      </c>
    </row>
    <row r="135" customFormat="false" ht="15" hidden="false" customHeight="false" outlineLevel="0" collapsed="false">
      <c r="A135" s="6" t="n">
        <v>128</v>
      </c>
      <c r="B135" s="14" t="n">
        <f aca="false">INDEX($S$4:$X$4,Q135)*(INDEX($S$4:$X$4,Q135+1)/INDEX($S$4:$X$4,Q135))^((LN(A135)-LN(INDEX($S$3:$X$3,Q135)))/(LN(INDEX($S$3:$X$3,Q135+1))-LN(INDEX($S$3:$X$3,Q135))))</f>
        <v>0.0161680394737192</v>
      </c>
      <c r="C135" s="33" t="n">
        <f aca="false">C134+B135</f>
        <v>6.45904342436983</v>
      </c>
      <c r="D135" s="36" t="n">
        <f aca="false">Допущения!$B$19*(1-EXP(-Допущения!$B$26*(A135+1)))</f>
        <v>0.00999998685447554</v>
      </c>
      <c r="E135" s="37" t="n">
        <f aca="false">D135-D134</f>
        <v>1.45501110292157E-009</v>
      </c>
      <c r="F135" s="37" t="n">
        <f aca="false">D135*MIN(1,B135*Допущения!$B$21)</f>
        <v>0.000404200455499585</v>
      </c>
      <c r="G135" s="17" t="n">
        <f aca="false">((B135-F135*Допущения!$B$23)*Допущения!$B$13*Допущения!$B$15+B135*Допущения!$B$14*Допущения!$B$16)/1000</f>
        <v>0.0159036920570165</v>
      </c>
      <c r="H135" s="17" t="n">
        <f aca="false">E135*Допущения!$B$27</f>
        <v>1.36043538123166E-007</v>
      </c>
      <c r="I135" s="17" t="n">
        <f aca="false">F135*Допущения!$B$22/30*Допущения!$B$28</f>
        <v>0.00195785382627268</v>
      </c>
      <c r="J135" s="17" t="n">
        <f aca="false">G135*Допущения!$B$17+(H135+I135)*Допущения!$B$18</f>
        <v>0.00893084096341363</v>
      </c>
      <c r="K135" s="19" t="n">
        <f aca="false">K134+J135</f>
        <v>3.91162870446979</v>
      </c>
      <c r="L135" s="19" t="n">
        <f aca="false">L134+G135*Допущения!$B$17</f>
        <v>3.17811324829264</v>
      </c>
      <c r="M135" s="19" t="n">
        <f aca="false">M134+H135*Допущения!$B$18</f>
        <v>0.467499385446732</v>
      </c>
      <c r="N135" s="19" t="n">
        <f aca="false">N134+I135*Допущения!$B$18</f>
        <v>0.266016070730422</v>
      </c>
      <c r="O135" s="19" t="n">
        <f aca="false">O134+G135+H135+I135</f>
        <v>7.82325740893959</v>
      </c>
      <c r="P135" s="17" t="n">
        <f aca="false">P134+F135</f>
        <v>0.109838452203705</v>
      </c>
      <c r="Q135" s="6" t="n">
        <f aca="false">MIN(MATCH(A135,$S$3:$X$3,1),5)</f>
        <v>4</v>
      </c>
    </row>
    <row r="136" customFormat="false" ht="15" hidden="false" customHeight="false" outlineLevel="0" collapsed="false">
      <c r="A136" s="6" t="n">
        <v>129</v>
      </c>
      <c r="B136" s="14" t="n">
        <f aca="false">INDEX($S$4:$X$4,Q136)*(INDEX($S$4:$X$4,Q136+1)/INDEX($S$4:$X$4,Q136))^((LN(A136)-LN(INDEX($S$3:$X$3,Q136)))/(LN(INDEX($S$3:$X$3,Q136+1))-LN(INDEX($S$3:$X$3,Q136))))</f>
        <v>0.0160583855944637</v>
      </c>
      <c r="C136" s="33" t="n">
        <f aca="false">C135+B136</f>
        <v>6.47510180996429</v>
      </c>
      <c r="D136" s="36" t="n">
        <f aca="false">Допущения!$B$19*(1-EXP(-Допущения!$B$26*(A136+1)))</f>
        <v>0.00999998816448804</v>
      </c>
      <c r="E136" s="37" t="n">
        <f aca="false">D136-D135</f>
        <v>1.31001249778495E-009</v>
      </c>
      <c r="F136" s="37" t="n">
        <f aca="false">D136*MIN(1,B136*Допущения!$B$21)</f>
        <v>0.000401459164713556</v>
      </c>
      <c r="G136" s="17" t="n">
        <f aca="false">((B136-F136*Допущения!$B$23)*Допущения!$B$13*Допущения!$B$15+B136*Допущения!$B$14*Допущения!$B$16)/1000</f>
        <v>0.0157958310156522</v>
      </c>
      <c r="H136" s="17" t="n">
        <f aca="false">E136*Допущения!$B$27</f>
        <v>1.22486168542893E-007</v>
      </c>
      <c r="I136" s="17" t="n">
        <f aca="false">F136*Допущения!$B$22/30*Допущения!$B$28</f>
        <v>0.00194457564565381</v>
      </c>
      <c r="J136" s="17" t="n">
        <f aca="false">G136*Допущения!$B$17+(H136+I136)*Допущения!$B$18</f>
        <v>0.0088702645737373</v>
      </c>
      <c r="K136" s="19" t="n">
        <f aca="false">K135+J136</f>
        <v>3.92049896904353</v>
      </c>
      <c r="L136" s="19" t="n">
        <f aca="false">L135+G136*Допущения!$B$17</f>
        <v>3.18601116380046</v>
      </c>
      <c r="M136" s="19" t="n">
        <f aca="false">M135+H136*Допущения!$B$18</f>
        <v>0.467499446689816</v>
      </c>
      <c r="N136" s="19" t="n">
        <f aca="false">N135+I136*Допущения!$B$18</f>
        <v>0.266988358553249</v>
      </c>
      <c r="O136" s="19" t="n">
        <f aca="false">O135+G136+H136+I136</f>
        <v>7.84099793808706</v>
      </c>
      <c r="P136" s="17" t="n">
        <f aca="false">P135+F136</f>
        <v>0.110239911368419</v>
      </c>
      <c r="Q136" s="6" t="n">
        <f aca="false">MIN(MATCH(A136,$S$3:$X$3,1),5)</f>
        <v>4</v>
      </c>
    </row>
    <row r="137" customFormat="false" ht="15" hidden="false" customHeight="false" outlineLevel="0" collapsed="false">
      <c r="A137" s="6" t="n">
        <v>130</v>
      </c>
      <c r="B137" s="14" t="n">
        <f aca="false">INDEX($S$4:$X$4,Q137)*(INDEX($S$4:$X$4,Q137+1)/INDEX($S$4:$X$4,Q137))^((LN(A137)-LN(INDEX($S$3:$X$3,Q137)))/(LN(INDEX($S$3:$X$3,Q137+1))-LN(INDEX($S$3:$X$3,Q137))))</f>
        <v>0.0159503135803276</v>
      </c>
      <c r="C137" s="33" t="n">
        <f aca="false">C136+B137</f>
        <v>6.49105212354462</v>
      </c>
      <c r="D137" s="36" t="n">
        <f aca="false">Допущения!$B$19*(1-EXP(-Допущения!$B$26*(A137+1)))</f>
        <v>0.00999998934395171</v>
      </c>
      <c r="E137" s="37" t="n">
        <f aca="false">D137-D136</f>
        <v>1.17946367429733E-009</v>
      </c>
      <c r="F137" s="37" t="n">
        <f aca="false">D137*MIN(1,B137*Допущения!$B$21)</f>
        <v>0.000398757414589911</v>
      </c>
      <c r="G137" s="17" t="n">
        <f aca="false">((B137-F137*Допущения!$B$23)*Допущения!$B$13*Допущения!$B$15+B137*Допущения!$B$14*Допущения!$B$16)/1000</f>
        <v>0.0156895259762349</v>
      </c>
      <c r="H137" s="17" t="n">
        <f aca="false">E137*Допущения!$B$27</f>
        <v>1.10279853546801E-007</v>
      </c>
      <c r="I137" s="17" t="n">
        <f aca="false">F137*Допущения!$B$22/30*Допущения!$B$28</f>
        <v>0.00193148899088824</v>
      </c>
      <c r="J137" s="17" t="n">
        <f aca="false">G137*Допущения!$B$17+(H137+I137)*Допущения!$B$18</f>
        <v>0.00881056262348832</v>
      </c>
      <c r="K137" s="19" t="n">
        <f aca="false">K136+J137</f>
        <v>3.92930953166702</v>
      </c>
      <c r="L137" s="19" t="n">
        <f aca="false">L136+G137*Допущения!$B$17</f>
        <v>3.19385592678858</v>
      </c>
      <c r="M137" s="19" t="n">
        <f aca="false">M136+H137*Допущения!$B$18</f>
        <v>0.467499501829743</v>
      </c>
      <c r="N137" s="19" t="n">
        <f aca="false">N136+I137*Допущения!$B$18</f>
        <v>0.267954103048693</v>
      </c>
      <c r="O137" s="19" t="n">
        <f aca="false">O136+G137+H137+I137</f>
        <v>7.85861906333404</v>
      </c>
      <c r="P137" s="17" t="n">
        <f aca="false">P136+F137</f>
        <v>0.110638668783009</v>
      </c>
      <c r="Q137" s="6" t="n">
        <f aca="false">MIN(MATCH(A137,$S$3:$X$3,1),5)</f>
        <v>4</v>
      </c>
    </row>
    <row r="138" customFormat="false" ht="15" hidden="false" customHeight="false" outlineLevel="0" collapsed="false">
      <c r="A138" s="6" t="n">
        <v>131</v>
      </c>
      <c r="B138" s="14" t="n">
        <f aca="false">INDEX($S$4:$X$4,Q138)*(INDEX($S$4:$X$4,Q138+1)/INDEX($S$4:$X$4,Q138))^((LN(A138)-LN(INDEX($S$3:$X$3,Q138)))/(LN(INDEX($S$3:$X$3,Q138+1))-LN(INDEX($S$3:$X$3,Q138))))</f>
        <v>0.0158437887044945</v>
      </c>
      <c r="C138" s="33" t="n">
        <f aca="false">C137+B138</f>
        <v>6.50689591224911</v>
      </c>
      <c r="D138" s="36" t="n">
        <f aca="false">Допущения!$B$19*(1-EXP(-Допущения!$B$26*(A138+1)))</f>
        <v>0.00999999040587636</v>
      </c>
      <c r="E138" s="37" t="n">
        <f aca="false">D138-D137</f>
        <v>1.06192464717492E-009</v>
      </c>
      <c r="F138" s="37" t="n">
        <f aca="false">D138*MIN(1,B138*Допущения!$B$21)</f>
        <v>0.000396094337594194</v>
      </c>
      <c r="G138" s="17" t="n">
        <f aca="false">((B138-F138*Допущения!$B$23)*Допущения!$B$13*Допущения!$B$15+B138*Допущения!$B$14*Допущения!$B$16)/1000</f>
        <v>0.015584742779697</v>
      </c>
      <c r="H138" s="17" t="n">
        <f aca="false">E138*Допущения!$B$27</f>
        <v>9.92899545108547E-008</v>
      </c>
      <c r="I138" s="17" t="n">
        <f aca="false">F138*Допущения!$B$22/30*Допущения!$B$28</f>
        <v>0.00191858965983904</v>
      </c>
      <c r="J138" s="17" t="n">
        <f aca="false">G138*Допущения!$B$17+(H138+I138)*Допущения!$B$18</f>
        <v>0.00875171586474529</v>
      </c>
      <c r="K138" s="19" t="n">
        <f aca="false">K137+J138</f>
        <v>3.93806124753176</v>
      </c>
      <c r="L138" s="19" t="n">
        <f aca="false">L137+G138*Допущения!$B$17</f>
        <v>3.20164829817843</v>
      </c>
      <c r="M138" s="19" t="n">
        <f aca="false">M137+H138*Допущения!$B$18</f>
        <v>0.46749955147472</v>
      </c>
      <c r="N138" s="19" t="n">
        <f aca="false">N137+I138*Допущения!$B$18</f>
        <v>0.268913397878613</v>
      </c>
      <c r="O138" s="19" t="n">
        <f aca="false">O137+G138+H138+I138</f>
        <v>7.87612249506353</v>
      </c>
      <c r="P138" s="17" t="n">
        <f aca="false">P137+F138</f>
        <v>0.111034763120603</v>
      </c>
      <c r="Q138" s="6" t="n">
        <f aca="false">MIN(MATCH(A138,$S$3:$X$3,1),5)</f>
        <v>4</v>
      </c>
    </row>
    <row r="139" customFormat="false" ht="15" hidden="false" customHeight="false" outlineLevel="0" collapsed="false">
      <c r="A139" s="6" t="n">
        <v>132</v>
      </c>
      <c r="B139" s="14" t="n">
        <f aca="false">INDEX($S$4:$X$4,Q139)*(INDEX($S$4:$X$4,Q139+1)/INDEX($S$4:$X$4,Q139))^((LN(A139)-LN(INDEX($S$3:$X$3,Q139)))/(LN(INDEX($S$3:$X$3,Q139+1))-LN(INDEX($S$3:$X$3,Q139))))</f>
        <v>0.0157387772599388</v>
      </c>
      <c r="C139" s="33" t="n">
        <f aca="false">C138+B139</f>
        <v>6.52263468950905</v>
      </c>
      <c r="D139" s="36" t="n">
        <f aca="false">Допущения!$B$19*(1-EXP(-Допущения!$B$26*(A139+1)))</f>
        <v>0.00999999136197529</v>
      </c>
      <c r="E139" s="37" t="n">
        <f aca="false">D139-D138</f>
        <v>9.56098929194571E-010</v>
      </c>
      <c r="F139" s="37" t="n">
        <f aca="false">D139*MIN(1,B139*Допущения!$B$21)</f>
        <v>0.000393469091618604</v>
      </c>
      <c r="G139" s="17" t="n">
        <f aca="false">((B139-F139*Допущения!$B$23)*Допущения!$B$13*Допущения!$B$15+B139*Допущения!$B$14*Допущения!$B$16)/1000</f>
        <v>0.0154814482700924</v>
      </c>
      <c r="H139" s="17" t="n">
        <f aca="false">E139*Допущения!$B$27</f>
        <v>8.93952498796924E-008</v>
      </c>
      <c r="I139" s="17" t="n">
        <f aca="false">F139*Допущения!$B$22/30*Допущения!$B$28</f>
        <v>0.00190587357353017</v>
      </c>
      <c r="J139" s="17" t="n">
        <f aca="false">G139*Допущения!$B$17+(H139+I139)*Допущения!$B$18</f>
        <v>0.00869370561943621</v>
      </c>
      <c r="K139" s="19" t="n">
        <f aca="false">K138+J139</f>
        <v>3.9467549531512</v>
      </c>
      <c r="L139" s="19" t="n">
        <f aca="false">L138+G139*Допущения!$B$17</f>
        <v>3.20938902231348</v>
      </c>
      <c r="M139" s="19" t="n">
        <f aca="false">M138+H139*Допущения!$B$18</f>
        <v>0.467499596172345</v>
      </c>
      <c r="N139" s="19" t="n">
        <f aca="false">N138+I139*Допущения!$B$18</f>
        <v>0.269866334665378</v>
      </c>
      <c r="O139" s="19" t="n">
        <f aca="false">O138+G139+H139+I139</f>
        <v>7.8935099063024</v>
      </c>
      <c r="P139" s="17" t="n">
        <f aca="false">P138+F139</f>
        <v>0.111428232212222</v>
      </c>
      <c r="Q139" s="6" t="n">
        <f aca="false">MIN(MATCH(A139,$S$3:$X$3,1),5)</f>
        <v>4</v>
      </c>
    </row>
    <row r="140" customFormat="false" ht="15" hidden="false" customHeight="false" outlineLevel="0" collapsed="false">
      <c r="A140" s="6" t="n">
        <v>133</v>
      </c>
      <c r="B140" s="14" t="n">
        <f aca="false">INDEX($S$4:$X$4,Q140)*(INDEX($S$4:$X$4,Q140+1)/INDEX($S$4:$X$4,Q140))^((LN(A140)-LN(INDEX($S$3:$X$3,Q140)))/(LN(INDEX($S$3:$X$3,Q140+1))-LN(INDEX($S$3:$X$3,Q140))))</f>
        <v>0.0156352465220325</v>
      </c>
      <c r="C140" s="33" t="n">
        <f aca="false">C139+B140</f>
        <v>6.53826993603109</v>
      </c>
      <c r="D140" s="36" t="n">
        <f aca="false">Допущения!$B$19*(1-EXP(-Допущения!$B$26*(A140+1)))</f>
        <v>0.00999999222279452</v>
      </c>
      <c r="E140" s="37" t="n">
        <f aca="false">D140-D139</f>
        <v>8.60819235337651E-010</v>
      </c>
      <c r="F140" s="37" t="n">
        <f aca="false">D140*MIN(1,B140*Допущения!$B$21)</f>
        <v>0.0003908808590545</v>
      </c>
      <c r="G140" s="17" t="n">
        <f aca="false">((B140-F140*Допущения!$B$23)*Допущения!$B$13*Допущения!$B$15+B140*Допущения!$B$14*Допущения!$B$16)/1000</f>
        <v>0.0153796102578131</v>
      </c>
      <c r="H140" s="17" t="n">
        <f aca="false">E140*Допущения!$B$27</f>
        <v>8.04865985040704E-008</v>
      </c>
      <c r="I140" s="17" t="n">
        <f aca="false">F140*Допущения!$B$22/30*Допущения!$B$28</f>
        <v>0.00189333677165386</v>
      </c>
      <c r="J140" s="17" t="n">
        <f aca="false">G140*Допущения!$B$17+(H140+I140)*Допущения!$B$18</f>
        <v>0.00863651375803272</v>
      </c>
      <c r="K140" s="19" t="n">
        <f aca="false">K139+J140</f>
        <v>3.95539146690923</v>
      </c>
      <c r="L140" s="19" t="n">
        <f aca="false">L139+G140*Допущения!$B$17</f>
        <v>3.21707882744238</v>
      </c>
      <c r="M140" s="19" t="n">
        <f aca="false">M139+H140*Допущения!$B$18</f>
        <v>0.467499636415644</v>
      </c>
      <c r="N140" s="19" t="n">
        <f aca="false">N139+I140*Допущения!$B$18</f>
        <v>0.270813003051205</v>
      </c>
      <c r="O140" s="19" t="n">
        <f aca="false">O139+G140+H140+I140</f>
        <v>7.91078293381847</v>
      </c>
      <c r="P140" s="17" t="n">
        <f aca="false">P139+F140</f>
        <v>0.111819113071276</v>
      </c>
      <c r="Q140" s="6" t="n">
        <f aca="false">MIN(MATCH(A140,$S$3:$X$3,1),5)</f>
        <v>4</v>
      </c>
    </row>
    <row r="141" customFormat="false" ht="15" hidden="false" customHeight="false" outlineLevel="0" collapsed="false">
      <c r="A141" s="6" t="n">
        <v>134</v>
      </c>
      <c r="B141" s="14" t="n">
        <f aca="false">INDEX($S$4:$X$4,Q141)*(INDEX($S$4:$X$4,Q141+1)/INDEX($S$4:$X$4,Q141))^((LN(A141)-LN(INDEX($S$3:$X$3,Q141)))/(LN(INDEX($S$3:$X$3,Q141+1))-LN(INDEX($S$3:$X$3,Q141))))</f>
        <v>0.0155331647127918</v>
      </c>
      <c r="C141" s="33" t="n">
        <f aca="false">C140+B141</f>
        <v>6.55380310074388</v>
      </c>
      <c r="D141" s="36" t="n">
        <f aca="false">Допущения!$B$19*(1-EXP(-Допущения!$B$26*(A141+1)))</f>
        <v>0.00999999299782913</v>
      </c>
      <c r="E141" s="37" t="n">
        <f aca="false">D141-D140</f>
        <v>7.75034605937641E-010</v>
      </c>
      <c r="F141" s="37" t="n">
        <f aca="false">D141*MIN(1,B141*Допущения!$B$21)</f>
        <v>0.000388328845905112</v>
      </c>
      <c r="G141" s="17" t="n">
        <f aca="false">((B141-F141*Допущения!$B$23)*Допущения!$B$13*Допущения!$B$15+B141*Допущения!$B$14*Допущения!$B$16)/1000</f>
        <v>0.0152791974844211</v>
      </c>
      <c r="H141" s="17" t="n">
        <f aca="false">E141*Допущения!$B$27</f>
        <v>7.24657356551695E-008</v>
      </c>
      <c r="I141" s="17" t="n">
        <f aca="false">F141*Допущения!$B$22/30*Допущения!$B$28</f>
        <v>0.00188097540827278</v>
      </c>
      <c r="J141" s="17" t="n">
        <f aca="false">G141*Допущения!$B$17+(H141+I141)*Допущения!$B$18</f>
        <v>0.00858012267921475</v>
      </c>
      <c r="K141" s="19" t="n">
        <f aca="false">K140+J141</f>
        <v>3.96397158958845</v>
      </c>
      <c r="L141" s="19" t="n">
        <f aca="false">L140+G141*Допущения!$B$17</f>
        <v>3.22471842618459</v>
      </c>
      <c r="M141" s="19" t="n">
        <f aca="false">M140+H141*Допущения!$B$18</f>
        <v>0.467499672648512</v>
      </c>
      <c r="N141" s="19" t="n">
        <f aca="false">N140+I141*Допущения!$B$18</f>
        <v>0.271753490755341</v>
      </c>
      <c r="O141" s="19" t="n">
        <f aca="false">O140+G141+H141+I141</f>
        <v>7.9279431791769</v>
      </c>
      <c r="P141" s="17" t="n">
        <f aca="false">P140+F141</f>
        <v>0.112207441917181</v>
      </c>
      <c r="Q141" s="6" t="n">
        <f aca="false">MIN(MATCH(A141,$S$3:$X$3,1),5)</f>
        <v>4</v>
      </c>
    </row>
    <row r="142" customFormat="false" ht="15" hidden="false" customHeight="false" outlineLevel="0" collapsed="false">
      <c r="A142" s="6" t="n">
        <v>135</v>
      </c>
      <c r="B142" s="14" t="n">
        <f aca="false">INDEX($S$4:$X$4,Q142)*(INDEX($S$4:$X$4,Q142+1)/INDEX($S$4:$X$4,Q142))^((LN(A142)-LN(INDEX($S$3:$X$3,Q142)))/(LN(INDEX($S$3:$X$3,Q142+1))-LN(INDEX($S$3:$X$3,Q142))))</f>
        <v>0.0154325009666808</v>
      </c>
      <c r="C142" s="33" t="n">
        <f aca="false">C141+B142</f>
        <v>6.56923560171056</v>
      </c>
      <c r="D142" s="36" t="n">
        <f aca="false">Допущения!$B$19*(1-EXP(-Допущения!$B$26*(A142+1)))</f>
        <v>0.00999999369562794</v>
      </c>
      <c r="E142" s="37" t="n">
        <f aca="false">D142-D141</f>
        <v>6.97798811788442E-010</v>
      </c>
      <c r="F142" s="37" t="n">
        <f aca="false">D142*MIN(1,B142*Допущения!$B$21)</f>
        <v>0.000385812280936449</v>
      </c>
      <c r="G142" s="17" t="n">
        <f aca="false">((B142-F142*Допущения!$B$23)*Допущения!$B$13*Допущения!$B$15+B142*Допущения!$B$14*Допущения!$B$16)/1000</f>
        <v>0.01518017958901</v>
      </c>
      <c r="H142" s="17" t="n">
        <f aca="false">E142*Допущения!$B$27</f>
        <v>6.52441889022193E-008</v>
      </c>
      <c r="I142" s="17" t="n">
        <f aca="false">F142*Допущения!$B$22/30*Допущения!$B$28</f>
        <v>0.00186878574770728</v>
      </c>
      <c r="J142" s="17" t="n">
        <f aca="false">G142*Допущения!$B$17+(H142+I142)*Допущения!$B$18</f>
        <v>0.00852451529045308</v>
      </c>
      <c r="K142" s="19" t="n">
        <f aca="false">K141+J142</f>
        <v>3.9724961048789</v>
      </c>
      <c r="L142" s="19" t="n">
        <f aca="false">L141+G142*Допущения!$B$17</f>
        <v>3.2323085159791</v>
      </c>
      <c r="M142" s="19" t="n">
        <f aca="false">M141+H142*Допущения!$B$18</f>
        <v>0.467499705270606</v>
      </c>
      <c r="N142" s="19" t="n">
        <f aca="false">N141+I142*Допущения!$B$18</f>
        <v>0.272687883629195</v>
      </c>
      <c r="O142" s="19" t="n">
        <f aca="false">O141+G142+H142+I142</f>
        <v>7.9449922097578</v>
      </c>
      <c r="P142" s="17" t="n">
        <f aca="false">P141+F142</f>
        <v>0.112593254198118</v>
      </c>
      <c r="Q142" s="6" t="n">
        <f aca="false">MIN(MATCH(A142,$S$3:$X$3,1),5)</f>
        <v>4</v>
      </c>
    </row>
    <row r="143" customFormat="false" ht="15" hidden="false" customHeight="false" outlineLevel="0" collapsed="false">
      <c r="A143" s="6" t="n">
        <v>136</v>
      </c>
      <c r="B143" s="14" t="n">
        <f aca="false">INDEX($S$4:$X$4,Q143)*(INDEX($S$4:$X$4,Q143+1)/INDEX($S$4:$X$4,Q143))^((LN(A143)-LN(INDEX($S$3:$X$3,Q143)))/(LN(INDEX($S$3:$X$3,Q143+1))-LN(INDEX($S$3:$X$3,Q143))))</f>
        <v>0.0153332252978921</v>
      </c>
      <c r="C143" s="33" t="n">
        <f aca="false">C142+B143</f>
        <v>6.58456882700845</v>
      </c>
      <c r="D143" s="36" t="n">
        <f aca="false">Допущения!$B$19*(1-EXP(-Допущения!$B$26*(A143+1)))</f>
        <v>0.00999999432388786</v>
      </c>
      <c r="E143" s="37" t="n">
        <f aca="false">D143-D142</f>
        <v>6.28259921517382E-010</v>
      </c>
      <c r="F143" s="37" t="n">
        <f aca="false">D143*MIN(1,B143*Допущения!$B$21)</f>
        <v>0.000383330414864537</v>
      </c>
      <c r="G143" s="17" t="n">
        <f aca="false">((B143-F143*Допущения!$B$23)*Допущения!$B$13*Допущения!$B$15+B143*Допущения!$B$14*Допущения!$B$16)/1000</f>
        <v>0.015082527076021</v>
      </c>
      <c r="H143" s="17" t="n">
        <f aca="false">E143*Допущения!$B$27</f>
        <v>5.87423026618752E-008</v>
      </c>
      <c r="I143" s="17" t="n">
        <f aca="false">F143*Допущения!$B$22/30*Допущения!$B$28</f>
        <v>0.00185676416059852</v>
      </c>
      <c r="J143" s="17" t="n">
        <f aca="false">G143*Допущения!$B$17+(H143+I143)*Допущения!$B$18</f>
        <v>0.00846967498946111</v>
      </c>
      <c r="K143" s="19" t="n">
        <f aca="false">K142+J143</f>
        <v>3.98096577986836</v>
      </c>
      <c r="L143" s="19" t="n">
        <f aca="false">L142+G143*Допущения!$B$17</f>
        <v>3.23984977951711</v>
      </c>
      <c r="M143" s="19" t="n">
        <f aca="false">M142+H143*Допущения!$B$18</f>
        <v>0.467499734641758</v>
      </c>
      <c r="N143" s="19" t="n">
        <f aca="false">N142+I143*Допущения!$B$18</f>
        <v>0.273616265709494</v>
      </c>
      <c r="O143" s="19" t="n">
        <f aca="false">O142+G143+H143+I143</f>
        <v>7.96193155973673</v>
      </c>
      <c r="P143" s="17" t="n">
        <f aca="false">P142+F143</f>
        <v>0.112976584612982</v>
      </c>
      <c r="Q143" s="6" t="n">
        <f aca="false">MIN(MATCH(A143,$S$3:$X$3,1),5)</f>
        <v>4</v>
      </c>
    </row>
    <row r="144" customFormat="false" ht="15" hidden="false" customHeight="false" outlineLevel="0" collapsed="false">
      <c r="A144" s="6" t="n">
        <v>137</v>
      </c>
      <c r="B144" s="14" t="n">
        <f aca="false">INDEX($S$4:$X$4,Q144)*(INDEX($S$4:$X$4,Q144+1)/INDEX($S$4:$X$4,Q144))^((LN(A144)-LN(INDEX($S$3:$X$3,Q144)))/(LN(INDEX($S$3:$X$3,Q144+1))-LN(INDEX($S$3:$X$3,Q144))))</f>
        <v>0.0152353085690322</v>
      </c>
      <c r="C144" s="33" t="n">
        <f aca="false">C143+B144</f>
        <v>6.59980413557748</v>
      </c>
      <c r="D144" s="36" t="n">
        <f aca="false">Допущения!$B$19*(1-EXP(-Допущения!$B$26*(A144+1)))</f>
        <v>0.00999999488953877</v>
      </c>
      <c r="E144" s="37" t="n">
        <f aca="false">D144-D143</f>
        <v>5.65650908057602E-010</v>
      </c>
      <c r="F144" s="37" t="n">
        <f aca="false">D144*MIN(1,B144*Допущения!$B$21)</f>
        <v>0.00038088251957717</v>
      </c>
      <c r="G144" s="17" t="n">
        <f aca="false">((B144-F144*Допущения!$B$23)*Допущения!$B$13*Допущения!$B$15+B144*Допущения!$B$14*Допущения!$B$16)/1000</f>
        <v>0.0149862112844395</v>
      </c>
      <c r="H144" s="17" t="n">
        <f aca="false">E144*Допущения!$B$27</f>
        <v>5.28883599033858E-008</v>
      </c>
      <c r="I144" s="17" t="n">
        <f aca="false">F144*Допущения!$B$22/30*Допущения!$B$28</f>
        <v>0.00184490712013882</v>
      </c>
      <c r="J144" s="17" t="n">
        <f aca="false">G144*Допущения!$B$17+(H144+I144)*Допущения!$B$18</f>
        <v>0.00841558564646912</v>
      </c>
      <c r="K144" s="19" t="n">
        <f aca="false">K143+J144</f>
        <v>3.98938136551483</v>
      </c>
      <c r="L144" s="19" t="n">
        <f aca="false">L143+G144*Допущения!$B$17</f>
        <v>3.24734288515933</v>
      </c>
      <c r="M144" s="19" t="n">
        <f aca="false">M143+H144*Допущения!$B$18</f>
        <v>0.467499761085938</v>
      </c>
      <c r="N144" s="19" t="n">
        <f aca="false">N143+I144*Допущения!$B$18</f>
        <v>0.274538719269564</v>
      </c>
      <c r="O144" s="19" t="n">
        <f aca="false">O143+G144+H144+I144</f>
        <v>7.97876273102966</v>
      </c>
      <c r="P144" s="17" t="n">
        <f aca="false">P143+F144</f>
        <v>0.113357467132559</v>
      </c>
      <c r="Q144" s="6" t="n">
        <f aca="false">MIN(MATCH(A144,$S$3:$X$3,1),5)</f>
        <v>4</v>
      </c>
    </row>
    <row r="145" customFormat="false" ht="15" hidden="false" customHeight="false" outlineLevel="0" collapsed="false">
      <c r="A145" s="6" t="n">
        <v>138</v>
      </c>
      <c r="B145" s="14" t="n">
        <f aca="false">INDEX($S$4:$X$4,Q145)*(INDEX($S$4:$X$4,Q145+1)/INDEX($S$4:$X$4,Q145))^((LN(A145)-LN(INDEX($S$3:$X$3,Q145)))/(LN(INDEX($S$3:$X$3,Q145+1))-LN(INDEX($S$3:$X$3,Q145))))</f>
        <v>0.0151387224611392</v>
      </c>
      <c r="C145" s="33" t="n">
        <f aca="false">C144+B145</f>
        <v>6.61494285803862</v>
      </c>
      <c r="D145" s="36" t="n">
        <f aca="false">Допущения!$B$19*(1-EXP(-Допущения!$B$26*(A145+1)))</f>
        <v>0.00999999539881994</v>
      </c>
      <c r="E145" s="37" t="n">
        <f aca="false">D145-D144</f>
        <v>5.09281169319698E-010</v>
      </c>
      <c r="F145" s="37" t="n">
        <f aca="false">D145*MIN(1,B145*Допущения!$B$21)</f>
        <v>0.000378467887388511</v>
      </c>
      <c r="G145" s="17" t="n">
        <f aca="false">((B145-F145*Допущения!$B$23)*Допущения!$B$13*Допущения!$B$15+B145*Допущения!$B$14*Допущения!$B$16)/1000</f>
        <v>0.0148912043583032</v>
      </c>
      <c r="H145" s="17" t="n">
        <f aca="false">E145*Допущения!$B$27</f>
        <v>4.76177893313917E-008</v>
      </c>
      <c r="I145" s="17" t="n">
        <f aca="false">F145*Допущения!$B$22/30*Допущения!$B$28</f>
        <v>0.00183321119846114</v>
      </c>
      <c r="J145" s="17" t="n">
        <f aca="false">G145*Допущения!$B$17+(H145+I145)*Допущения!$B$18</f>
        <v>0.00836223158727681</v>
      </c>
      <c r="K145" s="19" t="n">
        <f aca="false">K144+J145</f>
        <v>3.99774359710211</v>
      </c>
      <c r="L145" s="19" t="n">
        <f aca="false">L144+G145*Допущения!$B$17</f>
        <v>3.25478848733848</v>
      </c>
      <c r="M145" s="19" t="n">
        <f aca="false">M144+H145*Допущения!$B$18</f>
        <v>0.467499784894832</v>
      </c>
      <c r="N145" s="19" t="n">
        <f aca="false">N144+I145*Допущения!$B$18</f>
        <v>0.275455324868794</v>
      </c>
      <c r="O145" s="19" t="n">
        <f aca="false">O144+G145+H145+I145</f>
        <v>7.99548719420422</v>
      </c>
      <c r="P145" s="17" t="n">
        <f aca="false">P144+F145</f>
        <v>0.113735935019948</v>
      </c>
      <c r="Q145" s="6" t="n">
        <f aca="false">MIN(MATCH(A145,$S$3:$X$3,1),5)</f>
        <v>4</v>
      </c>
    </row>
    <row r="146" customFormat="false" ht="15" hidden="false" customHeight="false" outlineLevel="0" collapsed="false">
      <c r="A146" s="6" t="n">
        <v>139</v>
      </c>
      <c r="B146" s="14" t="n">
        <f aca="false">INDEX($S$4:$X$4,Q146)*(INDEX($S$4:$X$4,Q146+1)/INDEX($S$4:$X$4,Q146))^((LN(A146)-LN(INDEX($S$3:$X$3,Q146)))/(LN(INDEX($S$3:$X$3,Q146+1))-LN(INDEX($S$3:$X$3,Q146))))</f>
        <v>0.0150434394449696</v>
      </c>
      <c r="C146" s="33" t="n">
        <f aca="false">C145+B146</f>
        <v>6.62998629748359</v>
      </c>
      <c r="D146" s="36" t="n">
        <f aca="false">Допущения!$B$19*(1-EXP(-Допущения!$B$26*(A146+1)))</f>
        <v>0.00999999585734888</v>
      </c>
      <c r="E146" s="37" t="n">
        <f aca="false">D146-D145</f>
        <v>4.58528938776515E-010</v>
      </c>
      <c r="F146" s="37" t="n">
        <f aca="false">D146*MIN(1,B146*Допущения!$B$21)</f>
        <v>0.000376085830324936</v>
      </c>
      <c r="G146" s="17" t="n">
        <f aca="false">((B146-F146*Допущения!$B$23)*Допущения!$B$13*Допущения!$B$15+B146*Допущения!$B$14*Допущения!$B$16)/1000</f>
        <v>0.0147974792184575</v>
      </c>
      <c r="H146" s="17" t="n">
        <f aca="false">E146*Допущения!$B$27</f>
        <v>4.28724557756041E-008</v>
      </c>
      <c r="I146" s="17" t="n">
        <f aca="false">F146*Допущения!$B$22/30*Допущения!$B$28</f>
        <v>0.00182167306317983</v>
      </c>
      <c r="J146" s="17" t="n">
        <f aca="false">G146*Допущения!$B$17+(H146+I146)*Допущения!$B$18</f>
        <v>0.00830959757704654</v>
      </c>
      <c r="K146" s="19" t="n">
        <f aca="false">K145+J146</f>
        <v>4.00605319467915</v>
      </c>
      <c r="L146" s="19" t="n">
        <f aca="false">L145+G146*Допущения!$B$17</f>
        <v>3.26218722694771</v>
      </c>
      <c r="M146" s="19" t="n">
        <f aca="false">M145+H146*Допущения!$B$18</f>
        <v>0.46749980633106</v>
      </c>
      <c r="N146" s="19" t="n">
        <f aca="false">N145+I146*Допущения!$B$18</f>
        <v>0.276366161400384</v>
      </c>
      <c r="O146" s="19" t="n">
        <f aca="false">O145+G146+H146+I146</f>
        <v>8.01210638935831</v>
      </c>
      <c r="P146" s="17" t="n">
        <f aca="false">P145+F146</f>
        <v>0.114112020850273</v>
      </c>
      <c r="Q146" s="6" t="n">
        <f aca="false">MIN(MATCH(A146,$S$3:$X$3,1),5)</f>
        <v>4</v>
      </c>
    </row>
    <row r="147" customFormat="false" ht="15" hidden="false" customHeight="false" outlineLevel="0" collapsed="false">
      <c r="A147" s="6" t="n">
        <v>140</v>
      </c>
      <c r="B147" s="14" t="n">
        <f aca="false">INDEX($S$4:$X$4,Q147)*(INDEX($S$4:$X$4,Q147+1)/INDEX($S$4:$X$4,Q147))^((LN(A147)-LN(INDEX($S$3:$X$3,Q147)))/(LN(INDEX($S$3:$X$3,Q147+1))-LN(INDEX($S$3:$X$3,Q147))))</f>
        <v>0.0149494327534889</v>
      </c>
      <c r="C147" s="33" t="n">
        <f aca="false">C146+B147</f>
        <v>6.64493573023708</v>
      </c>
      <c r="D147" s="36" t="n">
        <f aca="false">Допущения!$B$19*(1-EXP(-Допущения!$B$26*(A147+1)))</f>
        <v>0.00999999627018328</v>
      </c>
      <c r="E147" s="37" t="n">
        <f aca="false">D147-D146</f>
        <v>4.12834402080398E-010</v>
      </c>
      <c r="F147" s="37" t="n">
        <f aca="false">D147*MIN(1,B147*Допущения!$B$21)</f>
        <v>0.000373735679440612</v>
      </c>
      <c r="G147" s="17" t="n">
        <f aca="false">((B147-F147*Допущения!$B$23)*Допущения!$B$13*Допущения!$B$15+B147*Допущения!$B$14*Допущения!$B$16)/1000</f>
        <v>0.0147050095354968</v>
      </c>
      <c r="H147" s="17" t="n">
        <f aca="false">E147*Допущения!$B$27</f>
        <v>3.86000165945172E-008</v>
      </c>
      <c r="I147" s="17" t="n">
        <f aca="false">F147*Допущения!$B$22/30*Допущения!$B$28</f>
        <v>0.0018102894740755</v>
      </c>
      <c r="J147" s="17" t="n">
        <f aca="false">G147*Допущения!$B$17+(H147+I147)*Допущения!$B$18</f>
        <v>0.00825766880479444</v>
      </c>
      <c r="K147" s="19" t="n">
        <f aca="false">K146+J147</f>
        <v>4.01431086348395</v>
      </c>
      <c r="L147" s="19" t="n">
        <f aca="false">L146+G147*Допущения!$B$17</f>
        <v>3.26953973171546</v>
      </c>
      <c r="M147" s="19" t="n">
        <f aca="false">M146+H147*Допущения!$B$18</f>
        <v>0.467499825631069</v>
      </c>
      <c r="N147" s="19" t="n">
        <f aca="false">N146+I147*Допущения!$B$18</f>
        <v>0.277271306137422</v>
      </c>
      <c r="O147" s="19" t="n">
        <f aca="false">O146+G147+H147+I147</f>
        <v>8.0286217269679</v>
      </c>
      <c r="P147" s="17" t="n">
        <f aca="false">P146+F147</f>
        <v>0.114485756529714</v>
      </c>
      <c r="Q147" s="6" t="n">
        <f aca="false">MIN(MATCH(A147,$S$3:$X$3,1),5)</f>
        <v>4</v>
      </c>
    </row>
    <row r="148" customFormat="false" ht="15" hidden="false" customHeight="false" outlineLevel="0" collapsed="false">
      <c r="A148" s="6" t="n">
        <v>141</v>
      </c>
      <c r="B148" s="14" t="n">
        <f aca="false">INDEX($S$4:$X$4,Q148)*(INDEX($S$4:$X$4,Q148+1)/INDEX($S$4:$X$4,Q148))^((LN(A148)-LN(INDEX($S$3:$X$3,Q148)))/(LN(INDEX($S$3:$X$3,Q148+1))-LN(INDEX($S$3:$X$3,Q148))))</f>
        <v>0.0148566763555106</v>
      </c>
      <c r="C148" s="33" t="n">
        <f aca="false">C147+B148</f>
        <v>6.65979240659259</v>
      </c>
      <c r="D148" s="36" t="n">
        <f aca="false">Допущения!$B$19*(1-EXP(-Допущения!$B$26*(A148+1)))</f>
        <v>0.00999999664187682</v>
      </c>
      <c r="E148" s="37" t="n">
        <f aca="false">D148-D147</f>
        <v>3.71693540529572E-010</v>
      </c>
      <c r="F148" s="37" t="n">
        <f aca="false">D148*MIN(1,B148*Допущения!$B$21)</f>
        <v>0.000371416784161391</v>
      </c>
      <c r="G148" s="17" t="n">
        <f aca="false">((B148-F148*Допущения!$B$23)*Допущения!$B$13*Допущения!$B$15+B148*Допущения!$B$14*Допущения!$B$16)/1000</f>
        <v>0.0146137697038332</v>
      </c>
      <c r="H148" s="17" t="n">
        <f aca="false">E148*Допущения!$B$27</f>
        <v>3.4753346039515E-008</v>
      </c>
      <c r="I148" s="17" t="n">
        <f aca="false">F148*Допущения!$B$22/30*Допущения!$B$28</f>
        <v>0.00179905727991694</v>
      </c>
      <c r="J148" s="17" t="n">
        <f aca="false">G148*Допущения!$B$17+(H148+I148)*Допущения!$B$18</f>
        <v>0.00820643086854809</v>
      </c>
      <c r="K148" s="19" t="n">
        <f aca="false">K147+J148</f>
        <v>4.02251729435249</v>
      </c>
      <c r="L148" s="19" t="n">
        <f aca="false">L147+G148*Допущения!$B$17</f>
        <v>3.27684661656737</v>
      </c>
      <c r="M148" s="19" t="n">
        <f aca="false">M147+H148*Допущения!$B$18</f>
        <v>0.467499843007742</v>
      </c>
      <c r="N148" s="19" t="n">
        <f aca="false">N147+I148*Допущения!$B$18</f>
        <v>0.27817083477738</v>
      </c>
      <c r="O148" s="19" t="n">
        <f aca="false">O147+G148+H148+I148</f>
        <v>8.045034588705</v>
      </c>
      <c r="P148" s="17" t="n">
        <f aca="false">P147+F148</f>
        <v>0.114857173313875</v>
      </c>
      <c r="Q148" s="6" t="n">
        <f aca="false">MIN(MATCH(A148,$S$3:$X$3,1),5)</f>
        <v>4</v>
      </c>
    </row>
    <row r="149" customFormat="false" ht="15" hidden="false" customHeight="false" outlineLevel="0" collapsed="false">
      <c r="A149" s="6" t="n">
        <v>142</v>
      </c>
      <c r="B149" s="14" t="n">
        <f aca="false">INDEX($S$4:$X$4,Q149)*(INDEX($S$4:$X$4,Q149+1)/INDEX($S$4:$X$4,Q149))^((LN(A149)-LN(INDEX($S$3:$X$3,Q149)))/(LN(INDEX($S$3:$X$3,Q149+1))-LN(INDEX($S$3:$X$3,Q149))))</f>
        <v>0.0147651449304245</v>
      </c>
      <c r="C149" s="33" t="n">
        <f aca="false">C148+B149</f>
        <v>6.67455755152302</v>
      </c>
      <c r="D149" s="36" t="n">
        <f aca="false">Допущения!$B$19*(1-EXP(-Допущения!$B$26*(A149+1)))</f>
        <v>0.00999999697652937</v>
      </c>
      <c r="E149" s="37" t="n">
        <f aca="false">D149-D148</f>
        <v>3.34652552197445E-010</v>
      </c>
      <c r="F149" s="37" t="n">
        <f aca="false">D149*MIN(1,B149*Допущения!$B$21)</f>
        <v>0.000369128511655658</v>
      </c>
      <c r="G149" s="17" t="n">
        <f aca="false">((B149-F149*Допущения!$B$23)*Допущения!$B$13*Допущения!$B$15+B149*Допущения!$B$14*Допущения!$B$16)/1000</f>
        <v>0.0145237348168387</v>
      </c>
      <c r="H149" s="17" t="n">
        <f aca="false">E149*Допущения!$B$27</f>
        <v>3.12900136304611E-008</v>
      </c>
      <c r="I149" s="17" t="n">
        <f aca="false">F149*Допущения!$B$22/30*Допущения!$B$28</f>
        <v>0.00178797341541371</v>
      </c>
      <c r="J149" s="17" t="n">
        <f aca="false">G149*Допущения!$B$17+(H149+I149)*Допущения!$B$18</f>
        <v>0.00815586976113304</v>
      </c>
      <c r="K149" s="19" t="n">
        <f aca="false">K148+J149</f>
        <v>4.03067316411363</v>
      </c>
      <c r="L149" s="19" t="n">
        <f aca="false">L148+G149*Допущения!$B$17</f>
        <v>3.28410848397579</v>
      </c>
      <c r="M149" s="19" t="n">
        <f aca="false">M148+H149*Допущения!$B$18</f>
        <v>0.467499858652748</v>
      </c>
      <c r="N149" s="19" t="n">
        <f aca="false">N148+I149*Допущения!$B$18</f>
        <v>0.279064821485087</v>
      </c>
      <c r="O149" s="19" t="n">
        <f aca="false">O148+G149+H149+I149</f>
        <v>8.06134632822727</v>
      </c>
      <c r="P149" s="17" t="n">
        <f aca="false">P148+F149</f>
        <v>0.115226301825531</v>
      </c>
      <c r="Q149" s="6" t="n">
        <f aca="false">MIN(MATCH(A149,$S$3:$X$3,1),5)</f>
        <v>4</v>
      </c>
    </row>
    <row r="150" customFormat="false" ht="15" hidden="false" customHeight="false" outlineLevel="0" collapsed="false">
      <c r="A150" s="6" t="n">
        <v>143</v>
      </c>
      <c r="B150" s="14" t="n">
        <f aca="false">INDEX($S$4:$X$4,Q150)*(INDEX($S$4:$X$4,Q150+1)/INDEX($S$4:$X$4,Q150))^((LN(A150)-LN(INDEX($S$3:$X$3,Q150)))/(LN(INDEX($S$3:$X$3,Q150+1))-LN(INDEX($S$3:$X$3,Q150))))</f>
        <v>0.0146748138439651</v>
      </c>
      <c r="C150" s="33" t="n">
        <f aca="false">C149+B150</f>
        <v>6.68923236536698</v>
      </c>
      <c r="D150" s="36" t="n">
        <f aca="false">Допущения!$B$19*(1-EXP(-Допущения!$B$26*(A150+1)))</f>
        <v>0.00999999727783225</v>
      </c>
      <c r="E150" s="37" t="n">
        <f aca="false">D150-D149</f>
        <v>3.01302875010956E-010</v>
      </c>
      <c r="F150" s="37" t="n">
        <f aca="false">D150*MIN(1,B150*Допущения!$B$21)</f>
        <v>0.000366870246230866</v>
      </c>
      <c r="G150" s="17" t="n">
        <f aca="false">((B150-F150*Допущения!$B$23)*Допущения!$B$13*Допущения!$B$15+B150*Допущения!$B$14*Допущения!$B$16)/1000</f>
        <v>0.0144348806430092</v>
      </c>
      <c r="H150" s="17" t="n">
        <f aca="false">E150*Допущения!$B$27</f>
        <v>2.81718188135244E-008</v>
      </c>
      <c r="I150" s="17" t="n">
        <f aca="false">F150*Допущения!$B$22/30*Допущения!$B$28</f>
        <v>0.00177703489829303</v>
      </c>
      <c r="J150" s="17" t="n">
        <f aca="false">G150*Допущения!$B$17+(H150+I150)*Допущения!$B$18</f>
        <v>0.00810597185656051</v>
      </c>
      <c r="K150" s="19" t="n">
        <f aca="false">K149+J150</f>
        <v>4.03877913597019</v>
      </c>
      <c r="L150" s="19" t="n">
        <f aca="false">L149+G150*Допущения!$B$17</f>
        <v>3.2913259242973</v>
      </c>
      <c r="M150" s="19" t="n">
        <f aca="false">M149+H150*Допущения!$B$18</f>
        <v>0.467499872738658</v>
      </c>
      <c r="N150" s="19" t="n">
        <f aca="false">N149+I150*Допущения!$B$18</f>
        <v>0.279953338934234</v>
      </c>
      <c r="O150" s="19" t="n">
        <f aca="false">O149+G150+H150+I150</f>
        <v>8.07755827194039</v>
      </c>
      <c r="P150" s="17" t="n">
        <f aca="false">P149+F150</f>
        <v>0.115593172071761</v>
      </c>
      <c r="Q150" s="6" t="n">
        <f aca="false">MIN(MATCH(A150,$S$3:$X$3,1),5)</f>
        <v>4</v>
      </c>
    </row>
    <row r="151" customFormat="false" ht="15" hidden="false" customHeight="false" outlineLevel="0" collapsed="false">
      <c r="A151" s="6" t="n">
        <v>144</v>
      </c>
      <c r="B151" s="14" t="n">
        <f aca="false">INDEX($S$4:$X$4,Q151)*(INDEX($S$4:$X$4,Q151+1)/INDEX($S$4:$X$4,Q151))^((LN(A151)-LN(INDEX($S$3:$X$3,Q151)))/(LN(INDEX($S$3:$X$3,Q151+1))-LN(INDEX($S$3:$X$3,Q151))))</f>
        <v>0.0145856591249678</v>
      </c>
      <c r="C151" s="33" t="n">
        <f aca="false">C150+B151</f>
        <v>6.70381802449195</v>
      </c>
      <c r="D151" s="36" t="n">
        <f aca="false">Допущения!$B$19*(1-EXP(-Допущения!$B$26*(A151+1)))</f>
        <v>0.00999999754910889</v>
      </c>
      <c r="E151" s="37" t="n">
        <f aca="false">D151-D150</f>
        <v>2.71276645244511E-010</v>
      </c>
      <c r="F151" s="37" t="n">
        <f aca="false">D151*MIN(1,B151*Допущения!$B$21)</f>
        <v>0.00036464138875454</v>
      </c>
      <c r="G151" s="17" t="n">
        <f aca="false">((B151-F151*Допущения!$B$23)*Допущения!$B$13*Допущения!$B$15+B151*Допущения!$B$14*Допущения!$B$16)/1000</f>
        <v>0.0143471836031006</v>
      </c>
      <c r="H151" s="17" t="n">
        <f aca="false">E151*Допущения!$B$27</f>
        <v>2.53643663303618E-008</v>
      </c>
      <c r="I151" s="17" t="n">
        <f aca="false">F151*Допущения!$B$22/30*Допущения!$B$28</f>
        <v>0.00176623882649532</v>
      </c>
      <c r="J151" s="17" t="n">
        <f aca="false">G151*Допущения!$B$17+(H151+I151)*Допущения!$B$18</f>
        <v>0.00805672389698111</v>
      </c>
      <c r="K151" s="19" t="n">
        <f aca="false">K150+J151</f>
        <v>4.04683585986717</v>
      </c>
      <c r="L151" s="19" t="n">
        <f aca="false">L150+G151*Допущения!$B$17</f>
        <v>3.29849951609885</v>
      </c>
      <c r="M151" s="19" t="n">
        <f aca="false">M150+H151*Допущения!$B$18</f>
        <v>0.467499885420841</v>
      </c>
      <c r="N151" s="19" t="n">
        <f aca="false">N150+I151*Допущения!$B$18</f>
        <v>0.280836458347481</v>
      </c>
      <c r="O151" s="19" t="n">
        <f aca="false">O150+G151+H151+I151</f>
        <v>8.09367171973435</v>
      </c>
      <c r="P151" s="17" t="n">
        <f aca="false">P150+F151</f>
        <v>0.115957813460516</v>
      </c>
      <c r="Q151" s="6" t="n">
        <f aca="false">MIN(MATCH(A151,$S$3:$X$3,1),5)</f>
        <v>4</v>
      </c>
    </row>
    <row r="152" customFormat="false" ht="15" hidden="false" customHeight="false" outlineLevel="0" collapsed="false">
      <c r="A152" s="6" t="n">
        <v>145</v>
      </c>
      <c r="B152" s="14" t="n">
        <f aca="false">INDEX($S$4:$X$4,Q152)*(INDEX($S$4:$X$4,Q152+1)/INDEX($S$4:$X$4,Q152))^((LN(A152)-LN(INDEX($S$3:$X$3,Q152)))/(LN(INDEX($S$3:$X$3,Q152+1))-LN(INDEX($S$3:$X$3,Q152))))</f>
        <v>0.014497657443068</v>
      </c>
      <c r="C152" s="33" t="n">
        <f aca="false">C151+B152</f>
        <v>6.71831568193502</v>
      </c>
      <c r="D152" s="36" t="n">
        <f aca="false">Допущения!$B$19*(1-EXP(-Допущения!$B$26*(A152+1)))</f>
        <v>0.00999999779335156</v>
      </c>
      <c r="E152" s="37" t="n">
        <f aca="false">D152-D151</f>
        <v>2.44242669492079E-010</v>
      </c>
      <c r="F152" s="37" t="n">
        <f aca="false">D152*MIN(1,B152*Допущения!$B$21)</f>
        <v>0.000362441356098618</v>
      </c>
      <c r="G152" s="17" t="n">
        <f aca="false">((B152-F152*Допущения!$B$23)*Допущения!$B$13*Допущения!$B$15+B152*Допущения!$B$14*Допущения!$B$16)/1000</f>
        <v>0.0142606207481927</v>
      </c>
      <c r="H152" s="17" t="n">
        <f aca="false">E152*Допущения!$B$27</f>
        <v>2.28366895975093E-008</v>
      </c>
      <c r="I152" s="17" t="n">
        <f aca="false">F152*Допущения!$B$22/30*Допущения!$B$28</f>
        <v>0.00175558237548267</v>
      </c>
      <c r="J152" s="17" t="n">
        <f aca="false">G152*Допущения!$B$17+(H152+I152)*Допущения!$B$18</f>
        <v>0.00800811298018248</v>
      </c>
      <c r="K152" s="19" t="n">
        <f aca="false">K151+J152</f>
        <v>4.05484397284735</v>
      </c>
      <c r="L152" s="19" t="n">
        <f aca="false">L151+G152*Допущения!$B$17</f>
        <v>3.30562982647294</v>
      </c>
      <c r="M152" s="19" t="n">
        <f aca="false">M151+H152*Допущения!$B$18</f>
        <v>0.467499896839186</v>
      </c>
      <c r="N152" s="19" t="n">
        <f aca="false">N151+I152*Допущения!$B$18</f>
        <v>0.281714249535223</v>
      </c>
      <c r="O152" s="19" t="n">
        <f aca="false">O151+G152+H152+I152</f>
        <v>8.10968794569471</v>
      </c>
      <c r="P152" s="17" t="n">
        <f aca="false">P151+F152</f>
        <v>0.116320254816615</v>
      </c>
      <c r="Q152" s="6" t="n">
        <f aca="false">MIN(MATCH(A152,$S$3:$X$3,1),5)</f>
        <v>4</v>
      </c>
    </row>
    <row r="153" customFormat="false" ht="15" hidden="false" customHeight="false" outlineLevel="0" collapsed="false">
      <c r="A153" s="6" t="n">
        <v>146</v>
      </c>
      <c r="B153" s="14" t="n">
        <f aca="false">INDEX($S$4:$X$4,Q153)*(INDEX($S$4:$X$4,Q153+1)/INDEX($S$4:$X$4,Q153))^((LN(A153)-LN(INDEX($S$3:$X$3,Q153)))/(LN(INDEX($S$3:$X$3,Q153+1))-LN(INDEX($S$3:$X$3,Q153))))</f>
        <v>0.0144107860872975</v>
      </c>
      <c r="C153" s="33" t="n">
        <f aca="false">C152+B153</f>
        <v>6.73272646802231</v>
      </c>
      <c r="D153" s="36" t="n">
        <f aca="false">Допущения!$B$19*(1-EXP(-Допущения!$B$26*(A153+1)))</f>
        <v>0.00999999801325432</v>
      </c>
      <c r="E153" s="37" t="n">
        <f aca="false">D153-D152</f>
        <v>2.19902753992307E-010</v>
      </c>
      <c r="F153" s="37" t="n">
        <f aca="false">D153*MIN(1,B153*Допущения!$B$21)</f>
        <v>0.00036026958060602</v>
      </c>
      <c r="G153" s="17" t="n">
        <f aca="false">((B153-F153*Допущения!$B$23)*Допущения!$B$13*Допущения!$B$15+B153*Допущения!$B$14*Допущения!$B$16)/1000</f>
        <v>0.0141751697386353</v>
      </c>
      <c r="H153" s="17" t="n">
        <f aca="false">E153*Допущения!$B$27</f>
        <v>2.05609074982807E-008</v>
      </c>
      <c r="I153" s="17" t="n">
        <f aca="false">F153*Допущения!$B$22/30*Допущения!$B$28</f>
        <v>0.00174506279565505</v>
      </c>
      <c r="J153" s="17" t="n">
        <f aca="false">G153*Допущения!$B$17+(H153+I153)*Допущения!$B$18</f>
        <v>0.00796012654759893</v>
      </c>
      <c r="K153" s="19" t="n">
        <f aca="false">K152+J153</f>
        <v>4.06280409939495</v>
      </c>
      <c r="L153" s="19" t="n">
        <f aca="false">L152+G153*Допущения!$B$17</f>
        <v>3.31271741134226</v>
      </c>
      <c r="M153" s="19" t="n">
        <f aca="false">M152+H153*Допущения!$B$18</f>
        <v>0.46749990711964</v>
      </c>
      <c r="N153" s="19" t="n">
        <f aca="false">N152+I153*Допущения!$B$18</f>
        <v>0.28258678093305</v>
      </c>
      <c r="O153" s="19" t="n">
        <f aca="false">O152+G153+H153+I153</f>
        <v>8.12560819878991</v>
      </c>
      <c r="P153" s="17" t="n">
        <f aca="false">P152+F153</f>
        <v>0.116680524397221</v>
      </c>
      <c r="Q153" s="6" t="n">
        <f aca="false">MIN(MATCH(A153,$S$3:$X$3,1),5)</f>
        <v>4</v>
      </c>
    </row>
    <row r="154" customFormat="false" ht="15" hidden="false" customHeight="false" outlineLevel="0" collapsed="false">
      <c r="A154" s="6" t="n">
        <v>147</v>
      </c>
      <c r="B154" s="14" t="n">
        <f aca="false">INDEX($S$4:$X$4,Q154)*(INDEX($S$4:$X$4,Q154+1)/INDEX($S$4:$X$4,Q154))^((LN(A154)-LN(INDEX($S$3:$X$3,Q154)))/(LN(INDEX($S$3:$X$3,Q154+1))-LN(INDEX($S$3:$X$3,Q154))))</f>
        <v>0.0143250229455366</v>
      </c>
      <c r="C154" s="33" t="n">
        <f aca="false">C153+B154</f>
        <v>6.74705149096785</v>
      </c>
      <c r="D154" s="36" t="n">
        <f aca="false">Допущения!$B$19*(1-EXP(-Допущения!$B$26*(A154+1)))</f>
        <v>0.00999999821124274</v>
      </c>
      <c r="E154" s="37" t="n">
        <f aca="false">D154-D153</f>
        <v>1.97988422531714E-010</v>
      </c>
      <c r="F154" s="37" t="n">
        <f aca="false">D154*MIN(1,B154*Допущения!$B$21)</f>
        <v>0.000358125509578442</v>
      </c>
      <c r="G154" s="17" t="n">
        <f aca="false">((B154-F154*Допущения!$B$23)*Допущения!$B$13*Допущения!$B$15+B154*Допущения!$B$14*Допущения!$B$16)/1000</f>
        <v>0.0140908088238363</v>
      </c>
      <c r="H154" s="17" t="n">
        <f aca="false">E154*Допущения!$B$27</f>
        <v>1.85119175067153E-008</v>
      </c>
      <c r="I154" s="17" t="n">
        <f aca="false">F154*Допущения!$B$22/30*Допущения!$B$28</f>
        <v>0.00173467740986928</v>
      </c>
      <c r="J154" s="17" t="n">
        <f aca="false">G154*Допущения!$B$17+(H154+I154)*Допущения!$B$18</f>
        <v>0.00791275237281153</v>
      </c>
      <c r="K154" s="19" t="n">
        <f aca="false">K153+J154</f>
        <v>4.07071685176776</v>
      </c>
      <c r="L154" s="19" t="n">
        <f aca="false">L153+G154*Допущения!$B$17</f>
        <v>3.31976281575418</v>
      </c>
      <c r="M154" s="19" t="n">
        <f aca="false">M153+H154*Допущения!$B$18</f>
        <v>0.467499916375598</v>
      </c>
      <c r="N154" s="19" t="n">
        <f aca="false">N153+I154*Допущения!$B$18</f>
        <v>0.283454119637985</v>
      </c>
      <c r="O154" s="19" t="n">
        <f aca="false">O153+G154+H154+I154</f>
        <v>8.14143370353553</v>
      </c>
      <c r="P154" s="17" t="n">
        <f aca="false">P153+F154</f>
        <v>0.117038649906799</v>
      </c>
      <c r="Q154" s="6" t="n">
        <f aca="false">MIN(MATCH(A154,$S$3:$X$3,1),5)</f>
        <v>4</v>
      </c>
    </row>
    <row r="155" customFormat="false" ht="15" hidden="false" customHeight="false" outlineLevel="0" collapsed="false">
      <c r="A155" s="6" t="n">
        <v>148</v>
      </c>
      <c r="B155" s="14" t="n">
        <f aca="false">INDEX($S$4:$X$4,Q155)*(INDEX($S$4:$X$4,Q155+1)/INDEX($S$4:$X$4,Q155))^((LN(A155)-LN(INDEX($S$3:$X$3,Q155)))/(LN(INDEX($S$3:$X$3,Q155+1))-LN(INDEX($S$3:$X$3,Q155))))</f>
        <v>0.0142403464847823</v>
      </c>
      <c r="C155" s="33" t="n">
        <f aca="false">C154+B155</f>
        <v>6.76129183745263</v>
      </c>
      <c r="D155" s="36" t="n">
        <f aca="false">Допущения!$B$19*(1-EXP(-Допущения!$B$26*(A155+1)))</f>
        <v>0.0099999983895007</v>
      </c>
      <c r="E155" s="37" t="n">
        <f aca="false">D155-D154</f>
        <v>1.78257960475881E-010</v>
      </c>
      <c r="F155" s="37" t="n">
        <f aca="false">D155*MIN(1,B155*Допущения!$B$21)</f>
        <v>0.000356008604784387</v>
      </c>
      <c r="G155" s="17" t="n">
        <f aca="false">((B155-F155*Допущения!$B$23)*Допущения!$B$13*Допущения!$B$15+B155*Допущения!$B$14*Допущения!$B$16)/1000</f>
        <v>0.0140075168228522</v>
      </c>
      <c r="H155" s="17" t="n">
        <f aca="false">E155*Допущения!$B$27</f>
        <v>1.66671193044948E-008</v>
      </c>
      <c r="I155" s="17" t="n">
        <f aca="false">F155*Допущения!$B$22/30*Допущения!$B$28</f>
        <v>0.00172442361105609</v>
      </c>
      <c r="J155" s="17" t="n">
        <f aca="false">G155*Допущения!$B$17+(H155+I155)*Допущения!$B$18</f>
        <v>0.00786597855051379</v>
      </c>
      <c r="K155" s="19" t="n">
        <f aca="false">K154+J155</f>
        <v>4.07858283031828</v>
      </c>
      <c r="L155" s="19" t="n">
        <f aca="false">L154+G155*Допущения!$B$17</f>
        <v>3.32676657416561</v>
      </c>
      <c r="M155" s="19" t="n">
        <f aca="false">M154+H155*Допущения!$B$18</f>
        <v>0.467499924709158</v>
      </c>
      <c r="N155" s="19" t="n">
        <f aca="false">N154+I155*Допущения!$B$18</f>
        <v>0.284316331443513</v>
      </c>
      <c r="O155" s="19" t="n">
        <f aca="false">O154+G155+H155+I155</f>
        <v>8.15716566063656</v>
      </c>
      <c r="P155" s="17" t="n">
        <f aca="false">P154+F155</f>
        <v>0.117394658511583</v>
      </c>
      <c r="Q155" s="6" t="n">
        <f aca="false">MIN(MATCH(A155,$S$3:$X$3,1),5)</f>
        <v>4</v>
      </c>
    </row>
    <row r="156" customFormat="false" ht="15" hidden="false" customHeight="false" outlineLevel="0" collapsed="false">
      <c r="A156" s="6" t="n">
        <v>149</v>
      </c>
      <c r="B156" s="14" t="n">
        <f aca="false">INDEX($S$4:$X$4,Q156)*(INDEX($S$4:$X$4,Q156+1)/INDEX($S$4:$X$4,Q156))^((LN(A156)-LN(INDEX($S$3:$X$3,Q156)))/(LN(INDEX($S$3:$X$3,Q156+1))-LN(INDEX($S$3:$X$3,Q156))))</f>
        <v>0.0141567357321949</v>
      </c>
      <c r="C156" s="33" t="n">
        <f aca="false">C155+B156</f>
        <v>6.77544857318483</v>
      </c>
      <c r="D156" s="36" t="n">
        <f aca="false">Допущения!$B$19*(1-EXP(-Допущения!$B$26*(A156+1)))</f>
        <v>0.00999999854999443</v>
      </c>
      <c r="E156" s="37" t="n">
        <f aca="false">D156-D155</f>
        <v>1.60493725948063E-010</v>
      </c>
      <c r="F156" s="37" t="n">
        <f aca="false">D156*MIN(1,B156*Допущения!$B$21)</f>
        <v>0.000353918341986509</v>
      </c>
      <c r="G156" s="17" t="n">
        <f aca="false">((B156-F156*Допущения!$B$23)*Допущения!$B$13*Допущения!$B$15+B156*Допущения!$B$14*Допущения!$B$16)/1000</f>
        <v>0.0139252731057447</v>
      </c>
      <c r="H156" s="17" t="n">
        <f aca="false">E156*Допущения!$B$27</f>
        <v>1.50061633761439E-008</v>
      </c>
      <c r="I156" s="17" t="n">
        <f aca="false">F156*Допущения!$B$22/30*Допущения!$B$28</f>
        <v>0.0017142988599306</v>
      </c>
      <c r="J156" s="17" t="n">
        <f aca="false">G156*Допущения!$B$17+(H156+I156)*Допущения!$B$18</f>
        <v>0.00781979348591935</v>
      </c>
      <c r="K156" s="19" t="n">
        <f aca="false">K155+J156</f>
        <v>4.0864026238042</v>
      </c>
      <c r="L156" s="19" t="n">
        <f aca="false">L155+G156*Допущения!$B$17</f>
        <v>3.33372921071848</v>
      </c>
      <c r="M156" s="19" t="n">
        <f aca="false">M155+H156*Допущения!$B$18</f>
        <v>0.46749993221224</v>
      </c>
      <c r="N156" s="19" t="n">
        <f aca="false">N155+I156*Допущения!$B$18</f>
        <v>0.285173480873478</v>
      </c>
      <c r="O156" s="19" t="n">
        <f aca="false">O155+G156+H156+I156</f>
        <v>8.1728052476084</v>
      </c>
      <c r="P156" s="17" t="n">
        <f aca="false">P155+F156</f>
        <v>0.11774857685357</v>
      </c>
      <c r="Q156" s="6" t="n">
        <f aca="false">MIN(MATCH(A156,$S$3:$X$3,1),5)</f>
        <v>4</v>
      </c>
    </row>
    <row r="157" customFormat="false" ht="15" hidden="false" customHeight="false" outlineLevel="0" collapsed="false">
      <c r="A157" s="6" t="n">
        <v>150</v>
      </c>
      <c r="B157" s="14" t="n">
        <f aca="false">INDEX($S$4:$X$4,Q157)*(INDEX($S$4:$X$4,Q157+1)/INDEX($S$4:$X$4,Q157))^((LN(A157)-LN(INDEX($S$3:$X$3,Q157)))/(LN(INDEX($S$3:$X$3,Q157+1))-LN(INDEX($S$3:$X$3,Q157))))</f>
        <v>0.0140741702568868</v>
      </c>
      <c r="C157" s="33" t="n">
        <f aca="false">C156+B157</f>
        <v>6.78952274344171</v>
      </c>
      <c r="D157" s="36" t="n">
        <f aca="false">Допущения!$B$19*(1-EXP(-Допущения!$B$26*(A157+1)))</f>
        <v>0.00999999869449421</v>
      </c>
      <c r="E157" s="37" t="n">
        <f aca="false">D157-D156</f>
        <v>1.44499781931651E-010</v>
      </c>
      <c r="F157" s="37" t="n">
        <f aca="false">D157*MIN(1,B157*Допущения!$B$21)</f>
        <v>0.000351854210487393</v>
      </c>
      <c r="G157" s="17" t="n">
        <f aca="false">((B157-F157*Допущения!$B$23)*Допущения!$B$13*Допущения!$B$15+B157*Допущения!$B$14*Допущения!$B$16)/1000</f>
        <v>0.0138440575756672</v>
      </c>
      <c r="H157" s="17" t="n">
        <f aca="false">E157*Допущения!$B$27</f>
        <v>1.35107296106093E-008</v>
      </c>
      <c r="I157" s="17" t="n">
        <f aca="false">F157*Допущения!$B$22/30*Допущения!$B$28</f>
        <v>0.00170430068279228</v>
      </c>
      <c r="J157" s="17" t="n">
        <f aca="false">G157*Допущения!$B$17+(H157+I157)*Допущения!$B$18</f>
        <v>0.00777418588459454</v>
      </c>
      <c r="K157" s="19" t="n">
        <f aca="false">K156+J157</f>
        <v>4.09417680968879</v>
      </c>
      <c r="L157" s="19" t="n">
        <f aca="false">L156+G157*Допущения!$B$17</f>
        <v>3.34065123950631</v>
      </c>
      <c r="M157" s="19" t="n">
        <f aca="false">M156+H157*Допущения!$B$18</f>
        <v>0.467499938967605</v>
      </c>
      <c r="N157" s="19" t="n">
        <f aca="false">N156+I157*Допущения!$B$18</f>
        <v>0.286025631214874</v>
      </c>
      <c r="O157" s="19" t="n">
        <f aca="false">O156+G157+H157+I157</f>
        <v>8.18835361937759</v>
      </c>
      <c r="P157" s="17" t="n">
        <f aca="false">P156+F157</f>
        <v>0.118100431064057</v>
      </c>
      <c r="Q157" s="6" t="n">
        <f aca="false">MIN(MATCH(A157,$S$3:$X$3,1),5)</f>
        <v>4</v>
      </c>
    </row>
    <row r="158" customFormat="false" ht="15" hidden="false" customHeight="false" outlineLevel="0" collapsed="false">
      <c r="A158" s="6" t="n">
        <v>151</v>
      </c>
      <c r="B158" s="14" t="n">
        <f aca="false">INDEX($S$4:$X$4,Q158)*(INDEX($S$4:$X$4,Q158+1)/INDEX($S$4:$X$4,Q158))^((LN(A158)-LN(INDEX($S$3:$X$3,Q158)))/(LN(INDEX($S$3:$X$3,Q158+1))-LN(INDEX($S$3:$X$3,Q158))))</f>
        <v>0.0139926301524203</v>
      </c>
      <c r="C158" s="33" t="n">
        <f aca="false">C157+B158</f>
        <v>6.80351537359413</v>
      </c>
      <c r="D158" s="36" t="n">
        <f aca="false">Допущения!$B$19*(1-EXP(-Допущения!$B$26*(A158+1)))</f>
        <v>0.00999999882459392</v>
      </c>
      <c r="E158" s="37" t="n">
        <f aca="false">D158-D157</f>
        <v>1.3009970878386E-010</v>
      </c>
      <c r="F158" s="37" t="n">
        <f aca="false">D158*MIN(1,B158*Допущения!$B$21)</f>
        <v>0.00034981571269295</v>
      </c>
      <c r="G158" s="17" t="n">
        <f aca="false">((B158-F158*Допущения!$B$23)*Допущения!$B$13*Допущения!$B$15+B158*Допущения!$B$14*Допущения!$B$16)/1000</f>
        <v>0.0137638506516485</v>
      </c>
      <c r="H158" s="17" t="n">
        <f aca="false">E158*Допущения!$B$27</f>
        <v>1.21643227712909E-008</v>
      </c>
      <c r="I158" s="17" t="n">
        <f aca="false">F158*Допущения!$B$22/30*Допущения!$B$28</f>
        <v>0.00169442666941007</v>
      </c>
      <c r="J158" s="17" t="n">
        <f aca="false">G158*Допущения!$B$17+(H158+I158)*Допущения!$B$18</f>
        <v>0.00772914474269069</v>
      </c>
      <c r="K158" s="19" t="n">
        <f aca="false">K157+J158</f>
        <v>4.10190595443148</v>
      </c>
      <c r="L158" s="19" t="n">
        <f aca="false">L157+G158*Допущения!$B$17</f>
        <v>3.34753316483214</v>
      </c>
      <c r="M158" s="19" t="n">
        <f aca="false">M157+H158*Допущения!$B$18</f>
        <v>0.467499945049766</v>
      </c>
      <c r="N158" s="19" t="n">
        <f aca="false">N157+I158*Допущения!$B$18</f>
        <v>0.286872844549579</v>
      </c>
      <c r="O158" s="19" t="n">
        <f aca="false">O157+G158+H158+I158</f>
        <v>8.20381190886297</v>
      </c>
      <c r="P158" s="17" t="n">
        <f aca="false">P157+F158</f>
        <v>0.11845024677675</v>
      </c>
      <c r="Q158" s="6" t="n">
        <f aca="false">MIN(MATCH(A158,$S$3:$X$3,1),5)</f>
        <v>4</v>
      </c>
    </row>
    <row r="159" customFormat="false" ht="15" hidden="false" customHeight="false" outlineLevel="0" collapsed="false">
      <c r="A159" s="6" t="n">
        <v>152</v>
      </c>
      <c r="B159" s="14" t="n">
        <f aca="false">INDEX($S$4:$X$4,Q159)*(INDEX($S$4:$X$4,Q159+1)/INDEX($S$4:$X$4,Q159))^((LN(A159)-LN(INDEX($S$3:$X$3,Q159)))/(LN(INDEX($S$3:$X$3,Q159+1))-LN(INDEX($S$3:$X$3,Q159))))</f>
        <v>0.013912096019982</v>
      </c>
      <c r="C159" s="33" t="n">
        <f aca="false">C158+B159</f>
        <v>6.81742746961412</v>
      </c>
      <c r="D159" s="36" t="n">
        <f aca="false">Допущения!$B$19*(1-EXP(-Допущения!$B$26*(A159+1)))</f>
        <v>0.00999999894172859</v>
      </c>
      <c r="E159" s="37" t="n">
        <f aca="false">D159-D158</f>
        <v>1.17134670019059E-010</v>
      </c>
      <c r="F159" s="37" t="n">
        <f aca="false">D159*MIN(1,B159*Допущения!$B$21)</f>
        <v>0.000347802363692617</v>
      </c>
      <c r="G159" s="17" t="n">
        <f aca="false">((B159-F159*Допущения!$B$23)*Допущения!$B$13*Допущения!$B$15+B159*Допущения!$B$14*Допущения!$B$16)/1000</f>
        <v>0.0136846332520429</v>
      </c>
      <c r="H159" s="17" t="n">
        <f aca="false">E159*Допущения!$B$27</f>
        <v>1.0952091646782E-008</v>
      </c>
      <c r="I159" s="17" t="n">
        <f aca="false">F159*Допущения!$B$22/30*Допущения!$B$28</f>
        <v>0.00168467447098899</v>
      </c>
      <c r="J159" s="17" t="n">
        <f aca="false">G159*Допущения!$B$17+(H159+I159)*Допущения!$B$18</f>
        <v>0.00768465933756176</v>
      </c>
      <c r="K159" s="19" t="n">
        <f aca="false">K158+J159</f>
        <v>4.10959061376904</v>
      </c>
      <c r="L159" s="19" t="n">
        <f aca="false">L158+G159*Допущения!$B$17</f>
        <v>3.35437548145816</v>
      </c>
      <c r="M159" s="19" t="n">
        <f aca="false">M158+H159*Допущения!$B$18</f>
        <v>0.467499950525812</v>
      </c>
      <c r="N159" s="19" t="n">
        <f aca="false">N158+I159*Допущения!$B$18</f>
        <v>0.287715181785074</v>
      </c>
      <c r="O159" s="19" t="n">
        <f aca="false">O158+G159+H159+I159</f>
        <v>8.21918122753809</v>
      </c>
      <c r="P159" s="17" t="n">
        <f aca="false">P158+F159</f>
        <v>0.118798049140443</v>
      </c>
      <c r="Q159" s="6" t="n">
        <f aca="false">MIN(MATCH(A159,$S$3:$X$3,1),5)</f>
        <v>4</v>
      </c>
    </row>
    <row r="160" customFormat="false" ht="15" hidden="false" customHeight="false" outlineLevel="0" collapsed="false">
      <c r="A160" s="6" t="n">
        <v>153</v>
      </c>
      <c r="B160" s="14" t="n">
        <f aca="false">INDEX($S$4:$X$4,Q160)*(INDEX($S$4:$X$4,Q160+1)/INDEX($S$4:$X$4,Q160))^((LN(A160)-LN(INDEX($S$3:$X$3,Q160)))/(LN(INDEX($S$3:$X$3,Q160+1))-LN(INDEX($S$3:$X$3,Q160))))</f>
        <v>0.013832548952204</v>
      </c>
      <c r="C160" s="33" t="n">
        <f aca="false">C159+B160</f>
        <v>6.83126001856632</v>
      </c>
      <c r="D160" s="36" t="n">
        <f aca="false">Допущения!$B$19*(1-EXP(-Допущения!$B$26*(A160+1)))</f>
        <v>0.00999999904719024</v>
      </c>
      <c r="E160" s="37" t="n">
        <f aca="false">D160-D159</f>
        <v>1.05461655033889E-010</v>
      </c>
      <c r="F160" s="37" t="n">
        <f aca="false">D160*MIN(1,B160*Допущения!$B$21)</f>
        <v>0.000345813690855631</v>
      </c>
      <c r="G160" s="17" t="n">
        <f aca="false">((B160-F160*Допущения!$B$23)*Допущения!$B$13*Допущения!$B$15+B160*Допущения!$B$14*Допущения!$B$16)/1000</f>
        <v>0.0136063867786147</v>
      </c>
      <c r="H160" s="17" t="n">
        <f aca="false">E160*Допущения!$B$27</f>
        <v>9.86066474566866E-009</v>
      </c>
      <c r="I160" s="17" t="n">
        <f aca="false">F160*Допущения!$B$22/30*Допущения!$B$28</f>
        <v>0.00167504179821457</v>
      </c>
      <c r="J160" s="17" t="n">
        <f aca="false">G160*Допущения!$B$17+(H160+I160)*Допущения!$B$18</f>
        <v>0.00764071921874702</v>
      </c>
      <c r="K160" s="19" t="n">
        <f aca="false">K159+J160</f>
        <v>4.11723133298779</v>
      </c>
      <c r="L160" s="19" t="n">
        <f aca="false">L159+G160*Допущения!$B$17</f>
        <v>3.36117867484747</v>
      </c>
      <c r="M160" s="19" t="n">
        <f aca="false">M159+H160*Допущения!$B$18</f>
        <v>0.467499955456144</v>
      </c>
      <c r="N160" s="19" t="n">
        <f aca="false">N159+I160*Допущения!$B$18</f>
        <v>0.288552702684181</v>
      </c>
      <c r="O160" s="19" t="n">
        <f aca="false">O159+G160+H160+I160</f>
        <v>8.23446266597559</v>
      </c>
      <c r="P160" s="17" t="n">
        <f aca="false">P159+F160</f>
        <v>0.119143862831298</v>
      </c>
      <c r="Q160" s="6" t="n">
        <f aca="false">MIN(MATCH(A160,$S$3:$X$3,1),5)</f>
        <v>4</v>
      </c>
    </row>
    <row r="161" customFormat="false" ht="15" hidden="false" customHeight="false" outlineLevel="0" collapsed="false">
      <c r="A161" s="6" t="n">
        <v>154</v>
      </c>
      <c r="B161" s="14" t="n">
        <f aca="false">INDEX($S$4:$X$4,Q161)*(INDEX($S$4:$X$4,Q161+1)/INDEX($S$4:$X$4,Q161))^((LN(A161)-LN(INDEX($S$3:$X$3,Q161)))/(LN(INDEX($S$3:$X$3,Q161+1))-LN(INDEX($S$3:$X$3,Q161))))</f>
        <v>0.0137539705176015</v>
      </c>
      <c r="C161" s="33" t="n">
        <f aca="false">C160+B161</f>
        <v>6.84501398908392</v>
      </c>
      <c r="D161" s="36" t="n">
        <f aca="false">Допущения!$B$19*(1-EXP(-Допущения!$B$26*(A161+1)))</f>
        <v>0.00999999914214216</v>
      </c>
      <c r="E161" s="37" t="n">
        <f aca="false">D161-D160</f>
        <v>9.49519126519638E-011</v>
      </c>
      <c r="F161" s="37" t="n">
        <f aca="false">D161*MIN(1,B161*Допущения!$B$21)</f>
        <v>0.000343849233442658</v>
      </c>
      <c r="G161" s="17" t="n">
        <f aca="false">((B161-F161*Допущения!$B$23)*Допущения!$B$13*Допущения!$B$15+B161*Допущения!$B$14*Допущения!$B$16)/1000</f>
        <v>0.0135290931012315</v>
      </c>
      <c r="H161" s="17" t="n">
        <f aca="false">E161*Допущения!$B$27</f>
        <v>8.87800383295861E-009</v>
      </c>
      <c r="I161" s="17" t="n">
        <f aca="false">F161*Допущения!$B$22/30*Допущения!$B$28</f>
        <v>0.0016655264193717</v>
      </c>
      <c r="J161" s="17" t="n">
        <f aca="false">G161*Допущения!$B$17+(H161+I161)*Допущения!$B$18</f>
        <v>0.00759731419930354</v>
      </c>
      <c r="K161" s="19" t="n">
        <f aca="false">K160+J161</f>
        <v>4.12482864718709</v>
      </c>
      <c r="L161" s="19" t="n">
        <f aca="false">L160+G161*Допущения!$B$17</f>
        <v>3.36794322139808</v>
      </c>
      <c r="M161" s="19" t="n">
        <f aca="false">M160+H161*Допущения!$B$18</f>
        <v>0.467499959895146</v>
      </c>
      <c r="N161" s="19" t="n">
        <f aca="false">N160+I161*Допущения!$B$18</f>
        <v>0.289385465893867</v>
      </c>
      <c r="O161" s="19" t="n">
        <f aca="false">O160+G161+H161+I161</f>
        <v>8.24965729437419</v>
      </c>
      <c r="P161" s="17" t="n">
        <f aca="false">P160+F161</f>
        <v>0.119487712064741</v>
      </c>
      <c r="Q161" s="6" t="n">
        <f aca="false">MIN(MATCH(A161,$S$3:$X$3,1),5)</f>
        <v>4</v>
      </c>
    </row>
    <row r="162" customFormat="false" ht="15" hidden="false" customHeight="false" outlineLevel="0" collapsed="false">
      <c r="A162" s="6" t="n">
        <v>155</v>
      </c>
      <c r="B162" s="14" t="n">
        <f aca="false">INDEX($S$4:$X$4,Q162)*(INDEX($S$4:$X$4,Q162+1)/INDEX($S$4:$X$4,Q162))^((LN(A162)-LN(INDEX($S$3:$X$3,Q162)))/(LN(INDEX($S$3:$X$3,Q162+1))-LN(INDEX($S$3:$X$3,Q162))))</f>
        <v>0.0136763427456014</v>
      </c>
      <c r="C162" s="33" t="n">
        <f aca="false">C161+B162</f>
        <v>6.85869033182952</v>
      </c>
      <c r="D162" s="36" t="n">
        <f aca="false">Допущения!$B$19*(1-EXP(-Допущения!$B$26*(A162+1)))</f>
        <v>0.00999999922763167</v>
      </c>
      <c r="E162" s="37" t="n">
        <f aca="false">D162-D161</f>
        <v>8.54895147728296E-011</v>
      </c>
      <c r="F162" s="37" t="n">
        <f aca="false">D162*MIN(1,B162*Допущения!$B$21)</f>
        <v>0.0003419085422321</v>
      </c>
      <c r="G162" s="17" t="n">
        <f aca="false">((B162-F162*Допущения!$B$23)*Допущения!$B$13*Допущения!$B$15+B162*Допущения!$B$14*Допущения!$B$16)/1000</f>
        <v>0.0134527345431369</v>
      </c>
      <c r="H162" s="17" t="n">
        <f aca="false">E162*Допущения!$B$27</f>
        <v>7.99326963125957E-009</v>
      </c>
      <c r="I162" s="17" t="n">
        <f aca="false">F162*Допущения!$B$22/30*Допущения!$B$28</f>
        <v>0.00165612615853452</v>
      </c>
      <c r="J162" s="17" t="n">
        <f aca="false">G162*Допущения!$B$17+(H162+I162)*Допущения!$B$18</f>
        <v>0.0075544343474705</v>
      </c>
      <c r="K162" s="19" t="n">
        <f aca="false">K161+J162</f>
        <v>4.13238308153456</v>
      </c>
      <c r="L162" s="19" t="n">
        <f aca="false">L161+G162*Допущения!$B$17</f>
        <v>3.37466958866965</v>
      </c>
      <c r="M162" s="19" t="n">
        <f aca="false">M161+H162*Допущения!$B$18</f>
        <v>0.467499963891781</v>
      </c>
      <c r="N162" s="19" t="n">
        <f aca="false">N161+I162*Допущения!$B$18</f>
        <v>0.290213528973134</v>
      </c>
      <c r="O162" s="19" t="n">
        <f aca="false">O161+G162+H162+I162</f>
        <v>8.26476616306914</v>
      </c>
      <c r="P162" s="17" t="n">
        <f aca="false">P161+F162</f>
        <v>0.119829620606973</v>
      </c>
      <c r="Q162" s="6" t="n">
        <f aca="false">MIN(MATCH(A162,$S$3:$X$3,1),5)</f>
        <v>4</v>
      </c>
    </row>
    <row r="163" customFormat="false" ht="15" hidden="false" customHeight="false" outlineLevel="0" collapsed="false">
      <c r="A163" s="6" t="n">
        <v>156</v>
      </c>
      <c r="B163" s="14" t="n">
        <f aca="false">INDEX($S$4:$X$4,Q163)*(INDEX($S$4:$X$4,Q163+1)/INDEX($S$4:$X$4,Q163))^((LN(A163)-LN(INDEX($S$3:$X$3,Q163)))/(LN(INDEX($S$3:$X$3,Q163+1))-LN(INDEX($S$3:$X$3,Q163))))</f>
        <v>0.0135996481121346</v>
      </c>
      <c r="C163" s="33" t="n">
        <f aca="false">C162+B163</f>
        <v>6.87228997994166</v>
      </c>
      <c r="D163" s="36" t="n">
        <f aca="false">Допущения!$B$19*(1-EXP(-Допущения!$B$26*(A163+1)))</f>
        <v>0.00999999930460176</v>
      </c>
      <c r="E163" s="37" t="n">
        <f aca="false">D163-D162</f>
        <v>7.69700865543843E-011</v>
      </c>
      <c r="F163" s="37" t="n">
        <f aca="false">D163*MIN(1,B163*Допущения!$B$21)</f>
        <v>0.000339991179160436</v>
      </c>
      <c r="G163" s="17" t="n">
        <f aca="false">((B163-F163*Допущения!$B$23)*Допущения!$B$13*Допущения!$B$15+B163*Допущения!$B$14*Допущения!$B$16)/1000</f>
        <v>0.0133772938667779</v>
      </c>
      <c r="H163" s="17" t="n">
        <f aca="false">E163*Допущения!$B$27</f>
        <v>7.19670309283493E-009</v>
      </c>
      <c r="I163" s="17" t="n">
        <f aca="false">F163*Допущения!$B$22/30*Допущения!$B$28</f>
        <v>0.00164683889382431</v>
      </c>
      <c r="J163" s="17" t="n">
        <f aca="false">G163*Допущения!$B$17+(H163+I163)*Допущения!$B$18</f>
        <v>0.00751206997865266</v>
      </c>
      <c r="K163" s="19" t="n">
        <f aca="false">K162+J163</f>
        <v>4.13989515151322</v>
      </c>
      <c r="L163" s="19" t="n">
        <f aca="false">L162+G163*Допущения!$B$17</f>
        <v>3.38135823560304</v>
      </c>
      <c r="M163" s="19" t="n">
        <f aca="false">M162+H163*Допущения!$B$18</f>
        <v>0.467499967490133</v>
      </c>
      <c r="N163" s="19" t="n">
        <f aca="false">N162+I163*Допущения!$B$18</f>
        <v>0.291036948420046</v>
      </c>
      <c r="O163" s="19" t="n">
        <f aca="false">O162+G163+H163+I163</f>
        <v>8.27979030302644</v>
      </c>
      <c r="P163" s="17" t="n">
        <f aca="false">P162+F163</f>
        <v>0.120169611786134</v>
      </c>
      <c r="Q163" s="6" t="n">
        <f aca="false">MIN(MATCH(A163,$S$3:$X$3,1),5)</f>
        <v>4</v>
      </c>
    </row>
    <row r="164" customFormat="false" ht="15" hidden="false" customHeight="false" outlineLevel="0" collapsed="false">
      <c r="A164" s="6" t="n">
        <v>157</v>
      </c>
      <c r="B164" s="14" t="n">
        <f aca="false">INDEX($S$4:$X$4,Q164)*(INDEX($S$4:$X$4,Q164+1)/INDEX($S$4:$X$4,Q164))^((LN(A164)-LN(INDEX($S$3:$X$3,Q164)))/(LN(INDEX($S$3:$X$3,Q164+1))-LN(INDEX($S$3:$X$3,Q164))))</f>
        <v>0.0135238695257673</v>
      </c>
      <c r="C164" s="33" t="n">
        <f aca="false">C163+B164</f>
        <v>6.88581384946743</v>
      </c>
      <c r="D164" s="36" t="n">
        <f aca="false">Допущения!$B$19*(1-EXP(-Допущения!$B$26*(A164+1)))</f>
        <v>0.00999999937390142</v>
      </c>
      <c r="E164" s="37" t="n">
        <f aca="false">D164-D163</f>
        <v>6.92996614953811E-011</v>
      </c>
      <c r="F164" s="37" t="n">
        <f aca="false">D164*MIN(1,B164*Допущения!$B$21)</f>
        <v>0.000338096716975993</v>
      </c>
      <c r="G164" s="17" t="n">
        <f aca="false">((B164-F164*Допущения!$B$23)*Допущения!$B$13*Допущения!$B$15+B164*Допущения!$B$14*Допущения!$B$16)/1000</f>
        <v>0.0133027542601641</v>
      </c>
      <c r="H164" s="17" t="n">
        <f aca="false">E164*Допущения!$B$27</f>
        <v>6.47951834981814E-009</v>
      </c>
      <c r="I164" s="17" t="n">
        <f aca="false">F164*Допущения!$B$22/30*Допущения!$B$28</f>
        <v>0.00163766255573247</v>
      </c>
      <c r="J164" s="17" t="n">
        <f aca="false">G164*Допущения!$B$17+(H164+I164)*Допущения!$B$18</f>
        <v>0.00747021164770743</v>
      </c>
      <c r="K164" s="19" t="n">
        <f aca="false">K163+J164</f>
        <v>4.14736536316092</v>
      </c>
      <c r="L164" s="19" t="n">
        <f aca="false">L163+G164*Допущения!$B$17</f>
        <v>3.38800961273312</v>
      </c>
      <c r="M164" s="19" t="n">
        <f aca="false">M163+H164*Допущения!$B$18</f>
        <v>0.467499970729892</v>
      </c>
      <c r="N164" s="19" t="n">
        <f aca="false">N163+I164*Допущения!$B$18</f>
        <v>0.291855779697913</v>
      </c>
      <c r="O164" s="19" t="n">
        <f aca="false">O163+G164+H164+I164</f>
        <v>8.29473072632186</v>
      </c>
      <c r="P164" s="17" t="n">
        <f aca="false">P163+F164</f>
        <v>0.12050770850311</v>
      </c>
      <c r="Q164" s="6" t="n">
        <f aca="false">MIN(MATCH(A164,$S$3:$X$3,1),5)</f>
        <v>4</v>
      </c>
    </row>
    <row r="165" customFormat="false" ht="15" hidden="false" customHeight="false" outlineLevel="0" collapsed="false">
      <c r="A165" s="6" t="n">
        <v>158</v>
      </c>
      <c r="B165" s="14" t="n">
        <f aca="false">INDEX($S$4:$X$4,Q165)*(INDEX($S$4:$X$4,Q165+1)/INDEX($S$4:$X$4,Q165))^((LN(A165)-LN(INDEX($S$3:$X$3,Q165)))/(LN(INDEX($S$3:$X$3,Q165+1))-LN(INDEX($S$3:$X$3,Q165))))</f>
        <v>0.0134489903143484</v>
      </c>
      <c r="C165" s="33" t="n">
        <f aca="false">C164+B165</f>
        <v>6.89926283978177</v>
      </c>
      <c r="D165" s="36" t="n">
        <f aca="false">Допущения!$B$19*(1-EXP(-Допущения!$B$26*(A165+1)))</f>
        <v>0.00999999943629505</v>
      </c>
      <c r="E165" s="37" t="n">
        <f aca="false">D165-D164</f>
        <v>6.23936284582793E-011</v>
      </c>
      <c r="F165" s="37" t="n">
        <f aca="false">D165*MIN(1,B165*Допущения!$B$21)</f>
        <v>0.000336224738905555</v>
      </c>
      <c r="G165" s="17" t="n">
        <f aca="false">((B165-F165*Допущения!$B$23)*Допущения!$B$13*Допущения!$B$15+B165*Допущения!$B$14*Допущения!$B$16)/1000</f>
        <v>0.0132290993237323</v>
      </c>
      <c r="H165" s="17" t="n">
        <f aca="false">E165*Допущения!$B$27</f>
        <v>5.83380426084912E-009</v>
      </c>
      <c r="I165" s="17" t="n">
        <f aca="false">F165*Допущения!$B$22/30*Допущения!$B$28</f>
        <v>0.00162859512550561</v>
      </c>
      <c r="J165" s="17" t="n">
        <f aca="false">G165*Допущения!$B$17+(H165+I165)*Допущения!$B$18</f>
        <v>0.00742885014152109</v>
      </c>
      <c r="K165" s="19" t="n">
        <f aca="false">K164+J165</f>
        <v>4.15479421330244</v>
      </c>
      <c r="L165" s="19" t="n">
        <f aca="false">L164+G165*Допущения!$B$17</f>
        <v>3.39462416239499</v>
      </c>
      <c r="M165" s="19" t="n">
        <f aca="false">M164+H165*Допущения!$B$18</f>
        <v>0.467499973646794</v>
      </c>
      <c r="N165" s="19" t="n">
        <f aca="false">N164+I165*Допущения!$B$18</f>
        <v>0.292670077260665</v>
      </c>
      <c r="O165" s="19" t="n">
        <f aca="false">O164+G165+H165+I165</f>
        <v>8.3095884266049</v>
      </c>
      <c r="P165" s="17" t="n">
        <f aca="false">P164+F165</f>
        <v>0.120843933242015</v>
      </c>
      <c r="Q165" s="6" t="n">
        <f aca="false">MIN(MATCH(A165,$S$3:$X$3,1),5)</f>
        <v>4</v>
      </c>
    </row>
    <row r="166" customFormat="false" ht="15" hidden="false" customHeight="false" outlineLevel="0" collapsed="false">
      <c r="A166" s="6" t="n">
        <v>159</v>
      </c>
      <c r="B166" s="14" t="n">
        <f aca="false">INDEX($S$4:$X$4,Q166)*(INDEX($S$4:$X$4,Q166+1)/INDEX($S$4:$X$4,Q166))^((LN(A166)-LN(INDEX($S$3:$X$3,Q166)))/(LN(INDEX($S$3:$X$3,Q166+1))-LN(INDEX($S$3:$X$3,Q166))))</f>
        <v>0.0133749942121509</v>
      </c>
      <c r="C166" s="33" t="n">
        <f aca="false">C165+B166</f>
        <v>6.91263783399392</v>
      </c>
      <c r="D166" s="36" t="n">
        <f aca="false">Допущения!$B$19*(1-EXP(-Допущения!$B$26*(A166+1)))</f>
        <v>0.00999999949247086</v>
      </c>
      <c r="E166" s="37" t="n">
        <f aca="false">D166-D165</f>
        <v>5.61758140005253E-011</v>
      </c>
      <c r="F166" s="37" t="n">
        <f aca="false">D166*MIN(1,B166*Допущения!$B$21)</f>
        <v>0.000334374838333275</v>
      </c>
      <c r="G166" s="17" t="n">
        <f aca="false">((B166-F166*Допущения!$B$23)*Допущения!$B$13*Допущения!$B$15+B166*Допущения!$B$14*Допущения!$B$16)/1000</f>
        <v>0.0131563130576987</v>
      </c>
      <c r="H166" s="17" t="n">
        <f aca="false">E166*Допущения!$B$27</f>
        <v>5.25243860904912E-009</v>
      </c>
      <c r="I166" s="17" t="n">
        <f aca="false">F166*Допущения!$B$22/30*Допущения!$B$28</f>
        <v>0.00161963463359032</v>
      </c>
      <c r="J166" s="17" t="n">
        <f aca="false">G166*Допущения!$B$17+(H166+I166)*Допущения!$B$18</f>
        <v>0.0073879764718638</v>
      </c>
      <c r="K166" s="19" t="n">
        <f aca="false">K165+J166</f>
        <v>4.16218218977431</v>
      </c>
      <c r="L166" s="19" t="n">
        <f aca="false">L165+G166*Допущения!$B$17</f>
        <v>3.40120231892384</v>
      </c>
      <c r="M166" s="19" t="n">
        <f aca="false">M165+H166*Допущения!$B$18</f>
        <v>0.467499976273013</v>
      </c>
      <c r="N166" s="19" t="n">
        <f aca="false">N165+I166*Допущения!$B$18</f>
        <v>0.293479894577461</v>
      </c>
      <c r="O166" s="19" t="n">
        <f aca="false">O165+G166+H166+I166</f>
        <v>8.32436437954863</v>
      </c>
      <c r="P166" s="17" t="n">
        <f aca="false">P165+F166</f>
        <v>0.121178308080349</v>
      </c>
      <c r="Q166" s="6" t="n">
        <f aca="false">MIN(MATCH(A166,$S$3:$X$3,1),5)</f>
        <v>4</v>
      </c>
    </row>
    <row r="167" customFormat="false" ht="15" hidden="false" customHeight="false" outlineLevel="0" collapsed="false">
      <c r="A167" s="6" t="n">
        <v>160</v>
      </c>
      <c r="B167" s="14" t="n">
        <f aca="false">INDEX($S$4:$X$4,Q167)*(INDEX($S$4:$X$4,Q167+1)/INDEX($S$4:$X$4,Q167))^((LN(A167)-LN(INDEX($S$3:$X$3,Q167)))/(LN(INDEX($S$3:$X$3,Q167+1))-LN(INDEX($S$3:$X$3,Q167))))</f>
        <v>0.0133018653474845</v>
      </c>
      <c r="C167" s="33" t="n">
        <f aca="false">C166+B167</f>
        <v>6.92593969934141</v>
      </c>
      <c r="D167" s="36" t="n">
        <f aca="false">Допущения!$B$19*(1-EXP(-Допущения!$B$26*(A167+1)))</f>
        <v>0.00999999954304849</v>
      </c>
      <c r="E167" s="37" t="n">
        <f aca="false">D167-D166</f>
        <v>5.05776323600493E-011</v>
      </c>
      <c r="F167" s="37" t="n">
        <f aca="false">D167*MIN(1,B167*Допущения!$B$21)</f>
        <v>0.000332546618491344</v>
      </c>
      <c r="G167" s="17" t="n">
        <f aca="false">((B167-F167*Допущения!$B$23)*Допущения!$B$13*Допущения!$B$15+B167*Допущения!$B$14*Допущения!$B$16)/1000</f>
        <v>0.0130843798498737</v>
      </c>
      <c r="H167" s="17" t="n">
        <f aca="false">E167*Допущения!$B$27</f>
        <v>4.72900862566461E-009</v>
      </c>
      <c r="I167" s="17" t="n">
        <f aca="false">F167*Допущения!$B$22/30*Допущения!$B$28</f>
        <v>0.00161077915813479</v>
      </c>
      <c r="J167" s="17" t="n">
        <f aca="false">G167*Допущения!$B$17+(H167+I167)*Допущения!$B$18</f>
        <v>0.00734758186850856</v>
      </c>
      <c r="K167" s="19" t="n">
        <f aca="false">K166+J167</f>
        <v>4.16952977164282</v>
      </c>
      <c r="L167" s="19" t="n">
        <f aca="false">L166+G167*Допущения!$B$17</f>
        <v>3.40774450884877</v>
      </c>
      <c r="M167" s="19" t="n">
        <f aca="false">M166+H167*Допущения!$B$18</f>
        <v>0.467499978637517</v>
      </c>
      <c r="N167" s="19" t="n">
        <f aca="false">N166+I167*Допущения!$B$18</f>
        <v>0.294285284156528</v>
      </c>
      <c r="O167" s="19" t="n">
        <f aca="false">O166+G167+H167+I167</f>
        <v>8.33905954328565</v>
      </c>
      <c r="P167" s="17" t="n">
        <f aca="false">P166+F167</f>
        <v>0.12151085469884</v>
      </c>
      <c r="Q167" s="6" t="n">
        <f aca="false">MIN(MATCH(A167,$S$3:$X$3,1),5)</f>
        <v>4</v>
      </c>
    </row>
    <row r="168" customFormat="false" ht="15" hidden="false" customHeight="false" outlineLevel="0" collapsed="false">
      <c r="A168" s="6" t="n">
        <v>161</v>
      </c>
      <c r="B168" s="14" t="n">
        <f aca="false">INDEX($S$4:$X$4,Q168)*(INDEX($S$4:$X$4,Q168+1)/INDEX($S$4:$X$4,Q168))^((LN(A168)-LN(INDEX($S$3:$X$3,Q168)))/(LN(INDEX($S$3:$X$3,Q168+1))-LN(INDEX($S$3:$X$3,Q168))))</f>
        <v>0.0132295882307613</v>
      </c>
      <c r="C168" s="33" t="n">
        <f aca="false">C167+B168</f>
        <v>6.93916928757217</v>
      </c>
      <c r="D168" s="36" t="n">
        <f aca="false">Допущения!$B$19*(1-EXP(-Допущения!$B$26*(A168+1)))</f>
        <v>0.00999999958858583</v>
      </c>
      <c r="E168" s="37" t="n">
        <f aca="false">D168-D167</f>
        <v>4.55373377894475E-011</v>
      </c>
      <c r="F168" s="37" t="n">
        <f aca="false">D168*MIN(1,B168*Допущения!$B$21)</f>
        <v>0.000330739692161932</v>
      </c>
      <c r="G168" s="17" t="n">
        <f aca="false">((B168-F168*Допущения!$B$23)*Допущения!$B$13*Допущения!$B$15+B168*Допущения!$B$14*Допущения!$B$16)/1000</f>
        <v>0.0130132844639231</v>
      </c>
      <c r="H168" s="17" t="n">
        <f aca="false">E168*Допущения!$B$27</f>
        <v>4.25774108331334E-009</v>
      </c>
      <c r="I168" s="17" t="n">
        <f aca="false">F168*Допущения!$B$22/30*Допущения!$B$28</f>
        <v>0.00160202682354511</v>
      </c>
      <c r="J168" s="17" t="n">
        <f aca="false">G168*Допущения!$B$17+(H168+I168)*Допущения!$B$18</f>
        <v>0.00730765777260465</v>
      </c>
      <c r="K168" s="19" t="n">
        <f aca="false">K167+J168</f>
        <v>4.17683742941542</v>
      </c>
      <c r="L168" s="19" t="n">
        <f aca="false">L167+G168*Допущения!$B$17</f>
        <v>3.41425115108073</v>
      </c>
      <c r="M168" s="19" t="n">
        <f aca="false">M167+H168*Допущения!$B$18</f>
        <v>0.467499980766388</v>
      </c>
      <c r="N168" s="19" t="n">
        <f aca="false">N167+I168*Допущения!$B$18</f>
        <v>0.2950862975683</v>
      </c>
      <c r="O168" s="19" t="n">
        <f aca="false">O167+G168+H168+I168</f>
        <v>8.35367485883085</v>
      </c>
      <c r="P168" s="17" t="n">
        <f aca="false">P167+F168</f>
        <v>0.121841594391002</v>
      </c>
      <c r="Q168" s="6" t="n">
        <f aca="false">MIN(MATCH(A168,$S$3:$X$3,1),5)</f>
        <v>4</v>
      </c>
    </row>
    <row r="169" customFormat="false" ht="15" hidden="false" customHeight="false" outlineLevel="0" collapsed="false">
      <c r="A169" s="6" t="n">
        <v>162</v>
      </c>
      <c r="B169" s="14" t="n">
        <f aca="false">INDEX($S$4:$X$4,Q169)*(INDEX($S$4:$X$4,Q169+1)/INDEX($S$4:$X$4,Q169))^((LN(A169)-LN(INDEX($S$3:$X$3,Q169)))/(LN(INDEX($S$3:$X$3,Q169+1))-LN(INDEX($S$3:$X$3,Q169))))</f>
        <v>0.0131581477429941</v>
      </c>
      <c r="C169" s="33" t="n">
        <f aca="false">C168+B169</f>
        <v>6.95232743531516</v>
      </c>
      <c r="D169" s="36" t="n">
        <f aca="false">Допущения!$B$19*(1-EXP(-Допущения!$B$26*(A169+1)))</f>
        <v>0.00999999962958516</v>
      </c>
      <c r="E169" s="37" t="n">
        <f aca="false">D169-D168</f>
        <v>4.09993306665912E-011</v>
      </c>
      <c r="F169" s="37" t="n">
        <f aca="false">D169*MIN(1,B169*Допущения!$B$21)</f>
        <v>0.000328953681389919</v>
      </c>
      <c r="G169" s="17" t="n">
        <f aca="false">((B169-F169*Допущения!$B$23)*Допущения!$B$13*Допущения!$B$15+B169*Допущения!$B$14*Допущения!$B$16)/1000</f>
        <v>0.0129430120280541</v>
      </c>
      <c r="H169" s="17" t="n">
        <f aca="false">E169*Допущения!$B$27</f>
        <v>3.83343741732628E-009</v>
      </c>
      <c r="I169" s="17" t="n">
        <f aca="false">F169*Допущения!$B$22/30*Допущения!$B$28</f>
        <v>0.00159337579909382</v>
      </c>
      <c r="J169" s="17" t="n">
        <f aca="false">G169*Допущения!$B$17+(H169+I169)*Допущения!$B$18</f>
        <v>0.00726819583029266</v>
      </c>
      <c r="K169" s="19" t="n">
        <f aca="false">K168+J169</f>
        <v>4.18410562524571</v>
      </c>
      <c r="L169" s="19" t="n">
        <f aca="false">L168+G169*Допущения!$B$17</f>
        <v>3.42072265709476</v>
      </c>
      <c r="M169" s="19" t="n">
        <f aca="false">M168+H169*Допущения!$B$18</f>
        <v>0.467499982683107</v>
      </c>
      <c r="N169" s="19" t="n">
        <f aca="false">N168+I169*Допущения!$B$18</f>
        <v>0.295882985467847</v>
      </c>
      <c r="O169" s="19" t="n">
        <f aca="false">O168+G169+H169+I169</f>
        <v>8.36821125049144</v>
      </c>
      <c r="P169" s="17" t="n">
        <f aca="false">P168+F169</f>
        <v>0.122170548072392</v>
      </c>
      <c r="Q169" s="6" t="n">
        <f aca="false">MIN(MATCH(A169,$S$3:$X$3,1),5)</f>
        <v>4</v>
      </c>
    </row>
    <row r="170" customFormat="false" ht="15" hidden="false" customHeight="false" outlineLevel="0" collapsed="false">
      <c r="A170" s="6" t="n">
        <v>163</v>
      </c>
      <c r="B170" s="14" t="n">
        <f aca="false">INDEX($S$4:$X$4,Q170)*(INDEX($S$4:$X$4,Q170+1)/INDEX($S$4:$X$4,Q170))^((LN(A170)-LN(INDEX($S$3:$X$3,Q170)))/(LN(INDEX($S$3:$X$3,Q170+1))-LN(INDEX($S$3:$X$3,Q170))))</f>
        <v>0.0130875291247093</v>
      </c>
      <c r="C170" s="33" t="n">
        <f aca="false">C169+B170</f>
        <v>6.96541496443987</v>
      </c>
      <c r="D170" s="36" t="n">
        <f aca="false">Допущения!$B$19*(1-EXP(-Допущения!$B$26*(A170+1)))</f>
        <v>0.00999999966649872</v>
      </c>
      <c r="E170" s="37" t="n">
        <f aca="false">D170-D169</f>
        <v>3.69135572803048E-011</v>
      </c>
      <c r="F170" s="37" t="n">
        <f aca="false">D170*MIN(1,B170*Допущения!$B$21)</f>
        <v>0.000327188217205963</v>
      </c>
      <c r="G170" s="17" t="n">
        <f aca="false">((B170-F170*Допущения!$B$23)*Допущения!$B$13*Допущения!$B$15+B170*Допущения!$B$14*Допущения!$B$16)/1000</f>
        <v>0.0128735480241095</v>
      </c>
      <c r="H170" s="17" t="n">
        <f aca="false">E170*Допущения!$B$27</f>
        <v>3.4514176057085E-009</v>
      </c>
      <c r="I170" s="17" t="n">
        <f aca="false">F170*Допущения!$B$22/30*Допущения!$B$28</f>
        <v>0.00158482429757848</v>
      </c>
      <c r="J170" s="17" t="n">
        <f aca="false">G170*Допущения!$B$17+(H170+I170)*Допущения!$B$18</f>
        <v>0.00722918788655281</v>
      </c>
      <c r="K170" s="19" t="n">
        <f aca="false">K169+J170</f>
        <v>4.19133481313227</v>
      </c>
      <c r="L170" s="19" t="n">
        <f aca="false">L169+G170*Допущения!$B$17</f>
        <v>3.42715943110682</v>
      </c>
      <c r="M170" s="19" t="n">
        <f aca="false">M169+H170*Допущения!$B$18</f>
        <v>0.467499984408815</v>
      </c>
      <c r="N170" s="19" t="n">
        <f aca="false">N169+I170*Допущения!$B$18</f>
        <v>0.296675397616637</v>
      </c>
      <c r="O170" s="19" t="n">
        <f aca="false">O169+G170+H170+I170</f>
        <v>8.38266962626454</v>
      </c>
      <c r="P170" s="17" t="n">
        <f aca="false">P169+F170</f>
        <v>0.122497736289598</v>
      </c>
      <c r="Q170" s="6" t="n">
        <f aca="false">MIN(MATCH(A170,$S$3:$X$3,1),5)</f>
        <v>4</v>
      </c>
    </row>
    <row r="171" customFormat="false" ht="15" hidden="false" customHeight="false" outlineLevel="0" collapsed="false">
      <c r="A171" s="6" t="n">
        <v>164</v>
      </c>
      <c r="B171" s="14" t="n">
        <f aca="false">INDEX($S$4:$X$4,Q171)*(INDEX($S$4:$X$4,Q171+1)/INDEX($S$4:$X$4,Q171))^((LN(A171)-LN(INDEX($S$3:$X$3,Q171)))/(LN(INDEX($S$3:$X$3,Q171+1))-LN(INDEX($S$3:$X$3,Q171))))</f>
        <v>0.0130177179652574</v>
      </c>
      <c r="C171" s="33" t="n">
        <f aca="false">C170+B171</f>
        <v>6.97843268240513</v>
      </c>
      <c r="D171" s="36" t="n">
        <f aca="false">Допущения!$B$19*(1-EXP(-Допущения!$B$26*(A171+1)))</f>
        <v>0.00999999969973367</v>
      </c>
      <c r="E171" s="37" t="n">
        <f aca="false">D171-D170</f>
        <v>3.32349495146822E-011</v>
      </c>
      <c r="F171" s="37" t="n">
        <f aca="false">D171*MIN(1,B171*Допущения!$B$21)</f>
        <v>0.000325442939359479</v>
      </c>
      <c r="G171" s="17" t="n">
        <f aca="false">((B171-F171*Допущения!$B$23)*Допущения!$B$13*Допущения!$B$15+B171*Допущения!$B$14*Допущения!$B$16)/1000</f>
        <v>0.0128048782770531</v>
      </c>
      <c r="H171" s="17" t="n">
        <f aca="false">E171*Допущения!$B$27</f>
        <v>3.10746777962279E-009</v>
      </c>
      <c r="I171" s="17" t="n">
        <f aca="false">F171*Допущения!$B$22/30*Допущения!$B$28</f>
        <v>0.00157637057402831</v>
      </c>
      <c r="J171" s="17" t="n">
        <f aca="false">G171*Допущения!$B$17+(H171+I171)*Допущения!$B$18</f>
        <v>0.00719062597927461</v>
      </c>
      <c r="K171" s="19" t="n">
        <f aca="false">K170+J171</f>
        <v>4.19852543911154</v>
      </c>
      <c r="L171" s="19" t="n">
        <f aca="false">L170+G171*Допущения!$B$17</f>
        <v>3.43356187024534</v>
      </c>
      <c r="M171" s="19" t="n">
        <f aca="false">M170+H171*Допущения!$B$18</f>
        <v>0.467499985962549</v>
      </c>
      <c r="N171" s="19" t="n">
        <f aca="false">N170+I171*Допущения!$B$18</f>
        <v>0.297463582903651</v>
      </c>
      <c r="O171" s="19" t="n">
        <f aca="false">O170+G171+H171+I171</f>
        <v>8.39705087822309</v>
      </c>
      <c r="P171" s="17" t="n">
        <f aca="false">P170+F171</f>
        <v>0.122823179228957</v>
      </c>
      <c r="Q171" s="6" t="n">
        <f aca="false">MIN(MATCH(A171,$S$3:$X$3,1),5)</f>
        <v>4</v>
      </c>
    </row>
    <row r="172" customFormat="false" ht="15" hidden="false" customHeight="false" outlineLevel="0" collapsed="false">
      <c r="A172" s="6" t="n">
        <v>165</v>
      </c>
      <c r="B172" s="14" t="n">
        <f aca="false">INDEX($S$4:$X$4,Q172)*(INDEX($S$4:$X$4,Q172+1)/INDEX($S$4:$X$4,Q172))^((LN(A172)-LN(INDEX($S$3:$X$3,Q172)))/(LN(INDEX($S$3:$X$3,Q172+1))-LN(INDEX($S$3:$X$3,Q172))))</f>
        <v>0.0129487001925038</v>
      </c>
      <c r="C172" s="33" t="n">
        <f aca="false">C171+B172</f>
        <v>6.99138138259763</v>
      </c>
      <c r="D172" s="36" t="n">
        <f aca="false">Допущения!$B$19*(1-EXP(-Допущения!$B$26*(A172+1)))</f>
        <v>0.0099999997296566</v>
      </c>
      <c r="E172" s="37" t="n">
        <f aca="false">D172-D171</f>
        <v>2.99229339223439E-011</v>
      </c>
      <c r="F172" s="37" t="n">
        <f aca="false">D172*MIN(1,B172*Допущения!$B$21)</f>
        <v>0.000323717496061107</v>
      </c>
      <c r="G172" s="17" t="n">
        <f aca="false">((B172-F172*Допущения!$B$23)*Допущения!$B$13*Допущения!$B$15+B172*Допущения!$B$14*Допущения!$B$16)/1000</f>
        <v>0.012736988944829</v>
      </c>
      <c r="H172" s="17" t="n">
        <f aca="false">E172*Допущения!$B$27</f>
        <v>2.79779432173916E-009</v>
      </c>
      <c r="I172" s="17" t="n">
        <f aca="false">F172*Допущения!$B$22/30*Допущения!$B$28</f>
        <v>0.00156801292445673</v>
      </c>
      <c r="J172" s="17" t="n">
        <f aca="false">G172*Допущения!$B$17+(H172+I172)*Допущения!$B$18</f>
        <v>0.00715250233354001</v>
      </c>
      <c r="K172" s="19" t="n">
        <f aca="false">K171+J172</f>
        <v>4.20567794144508</v>
      </c>
      <c r="L172" s="19" t="n">
        <f aca="false">L171+G172*Допущения!$B$17</f>
        <v>3.43993036471776</v>
      </c>
      <c r="M172" s="19" t="n">
        <f aca="false">M171+H172*Допущения!$B$18</f>
        <v>0.467499987361447</v>
      </c>
      <c r="N172" s="19" t="n">
        <f aca="false">N171+I172*Допущения!$B$18</f>
        <v>0.298247589365879</v>
      </c>
      <c r="O172" s="19" t="n">
        <f aca="false">O171+G172+H172+I172</f>
        <v>8.41135588289017</v>
      </c>
      <c r="P172" s="17" t="n">
        <f aca="false">P171+F172</f>
        <v>0.123146896725018</v>
      </c>
      <c r="Q172" s="6" t="n">
        <f aca="false">MIN(MATCH(A172,$S$3:$X$3,1),5)</f>
        <v>4</v>
      </c>
    </row>
    <row r="173" customFormat="false" ht="15" hidden="false" customHeight="false" outlineLevel="0" collapsed="false">
      <c r="A173" s="6" t="n">
        <v>166</v>
      </c>
      <c r="B173" s="14" t="n">
        <f aca="false">INDEX($S$4:$X$4,Q173)*(INDEX($S$4:$X$4,Q173+1)/INDEX($S$4:$X$4,Q173))^((LN(A173)-LN(INDEX($S$3:$X$3,Q173)))/(LN(INDEX($S$3:$X$3,Q173+1))-LN(INDEX($S$3:$X$3,Q173))))</f>
        <v>0.0128804620628848</v>
      </c>
      <c r="C173" s="33" t="n">
        <f aca="false">C172+B173</f>
        <v>7.00426184466052</v>
      </c>
      <c r="D173" s="36" t="n">
        <f aca="false">Допущения!$B$19*(1-EXP(-Допущения!$B$26*(A173+1)))</f>
        <v>0.00999999975659758</v>
      </c>
      <c r="E173" s="37" t="n">
        <f aca="false">D173-D172</f>
        <v>2.69409737574389E-011</v>
      </c>
      <c r="F173" s="37" t="n">
        <f aca="false">D173*MIN(1,B173*Допущения!$B$21)</f>
        <v>0.000322011543734281</v>
      </c>
      <c r="G173" s="17" t="n">
        <f aca="false">((B173-F173*Допущения!$B$23)*Допущения!$B$13*Допущения!$B$15+B173*Допущения!$B$14*Допущения!$B$16)/1000</f>
        <v>0.0126698665085799</v>
      </c>
      <c r="H173" s="17" t="n">
        <f aca="false">E173*Допущения!$B$27</f>
        <v>2.51898104632053E-009</v>
      </c>
      <c r="I173" s="17" t="n">
        <f aca="false">F173*Допущения!$B$22/30*Допущения!$B$28</f>
        <v>0.00155974968465809</v>
      </c>
      <c r="J173" s="17" t="n">
        <f aca="false">G173*Допущения!$B$17+(H173+I173)*Допущения!$B$18</f>
        <v>0.00711480935610951</v>
      </c>
      <c r="K173" s="19" t="n">
        <f aca="false">K172+J173</f>
        <v>4.21279275080119</v>
      </c>
      <c r="L173" s="19" t="n">
        <f aca="false">L172+G173*Допущения!$B$17</f>
        <v>3.44626529797205</v>
      </c>
      <c r="M173" s="19" t="n">
        <f aca="false">M172+H173*Допущения!$B$18</f>
        <v>0.467499988620937</v>
      </c>
      <c r="N173" s="19" t="n">
        <f aca="false">N172+I173*Допущения!$B$18</f>
        <v>0.299027464208208</v>
      </c>
      <c r="O173" s="19" t="n">
        <f aca="false">O172+G173+H173+I173</f>
        <v>8.42558550160239</v>
      </c>
      <c r="P173" s="17" t="n">
        <f aca="false">P172+F173</f>
        <v>0.123468908268753</v>
      </c>
      <c r="Q173" s="6" t="n">
        <f aca="false">MIN(MATCH(A173,$S$3:$X$3,1),5)</f>
        <v>4</v>
      </c>
    </row>
    <row r="174" customFormat="false" ht="15" hidden="false" customHeight="false" outlineLevel="0" collapsed="false">
      <c r="A174" s="6" t="n">
        <v>167</v>
      </c>
      <c r="B174" s="14" t="n">
        <f aca="false">INDEX($S$4:$X$4,Q174)*(INDEX($S$4:$X$4,Q174+1)/INDEX($S$4:$X$4,Q174))^((LN(A174)-LN(INDEX($S$3:$X$3,Q174)))/(LN(INDEX($S$3:$X$3,Q174+1))-LN(INDEX($S$3:$X$3,Q174))))</f>
        <v>0.0128129901518136</v>
      </c>
      <c r="C174" s="33" t="n">
        <f aca="false">C173+B174</f>
        <v>7.01707483481233</v>
      </c>
      <c r="D174" s="36" t="n">
        <f aca="false">Допущения!$B$19*(1-EXP(-Допущения!$B$26*(A174+1)))</f>
        <v>0.00999999978085376</v>
      </c>
      <c r="E174" s="37" t="n">
        <f aca="false">D174-D173</f>
        <v>2.4256180397586E-011</v>
      </c>
      <c r="F174" s="37" t="n">
        <f aca="false">D174*MIN(1,B174*Допущения!$B$21)</f>
        <v>0.000320324746775542</v>
      </c>
      <c r="G174" s="17" t="n">
        <f aca="false">((B174-F174*Допущения!$B$23)*Допущения!$B$13*Допущения!$B$15+B174*Допущения!$B$14*Допущения!$B$16)/1000</f>
        <v>0.0126034977632105</v>
      </c>
      <c r="H174" s="17" t="n">
        <f aca="false">E174*Допущения!$B$27</f>
        <v>2.26795286717429E-009</v>
      </c>
      <c r="I174" s="17" t="n">
        <f aca="false">F174*Допущения!$B$22/30*Допущения!$B$28</f>
        <v>0.00155157922904658</v>
      </c>
      <c r="J174" s="17" t="n">
        <f aca="false">G174*Допущения!$B$17+(H174+I174)*Допущения!$B$18</f>
        <v>0.00707753963010496</v>
      </c>
      <c r="K174" s="19" t="n">
        <f aca="false">K173+J174</f>
        <v>4.21987029043129</v>
      </c>
      <c r="L174" s="19" t="n">
        <f aca="false">L173+G174*Допущения!$B$17</f>
        <v>3.45256704685365</v>
      </c>
      <c r="M174" s="19" t="n">
        <f aca="false">M173+H174*Допущения!$B$18</f>
        <v>0.467499989754913</v>
      </c>
      <c r="N174" s="19" t="n">
        <f aca="false">N173+I174*Допущения!$B$18</f>
        <v>0.299803253822731</v>
      </c>
      <c r="O174" s="19" t="n">
        <f aca="false">O173+G174+H174+I174</f>
        <v>8.4397405808626</v>
      </c>
      <c r="P174" s="17" t="n">
        <f aca="false">P173+F174</f>
        <v>0.123789233015528</v>
      </c>
      <c r="Q174" s="6" t="n">
        <f aca="false">MIN(MATCH(A174,$S$3:$X$3,1),5)</f>
        <v>4</v>
      </c>
    </row>
    <row r="175" customFormat="false" ht="15" hidden="false" customHeight="false" outlineLevel="0" collapsed="false">
      <c r="A175" s="6" t="n">
        <v>168</v>
      </c>
      <c r="B175" s="14" t="n">
        <f aca="false">INDEX($S$4:$X$4,Q175)*(INDEX($S$4:$X$4,Q175+1)/INDEX($S$4:$X$4,Q175))^((LN(A175)-LN(INDEX($S$3:$X$3,Q175)))/(LN(INDEX($S$3:$X$3,Q175+1))-LN(INDEX($S$3:$X$3,Q175))))</f>
        <v>0.0127462713444216</v>
      </c>
      <c r="C175" s="33" t="n">
        <f aca="false">C174+B175</f>
        <v>7.02982110615675</v>
      </c>
      <c r="D175" s="36" t="n">
        <f aca="false">Допущения!$B$19*(1-EXP(-Допущения!$B$26*(A175+1)))</f>
        <v>0.0099999998026927</v>
      </c>
      <c r="E175" s="37" t="n">
        <f aca="false">D175-D174</f>
        <v>2.1838940378327E-011</v>
      </c>
      <c r="F175" s="37" t="n">
        <f aca="false">D175*MIN(1,B175*Допущения!$B$21)</f>
        <v>0.000318656777323209</v>
      </c>
      <c r="G175" s="17" t="n">
        <f aca="false">((B175-F175*Допущения!$B$23)*Допущения!$B$13*Допущения!$B$15+B175*Допущения!$B$14*Допущения!$B$16)/1000</f>
        <v>0.0125378698082798</v>
      </c>
      <c r="H175" s="17" t="n">
        <f aca="false">E175*Допущения!$B$27</f>
        <v>2.04194092537358E-009</v>
      </c>
      <c r="I175" s="17" t="n">
        <f aca="false">F175*Допущения!$B$22/30*Допущения!$B$28</f>
        <v>0.0015434999695358</v>
      </c>
      <c r="J175" s="17" t="n">
        <f aca="false">G175*Допущения!$B$17+(H175+I175)*Допущения!$B$18</f>
        <v>0.00704068590987826</v>
      </c>
      <c r="K175" s="19" t="n">
        <f aca="false">K174+J175</f>
        <v>4.22691097634117</v>
      </c>
      <c r="L175" s="19" t="n">
        <f aca="false">L174+G175*Допущения!$B$17</f>
        <v>3.45883598175779</v>
      </c>
      <c r="M175" s="19" t="n">
        <f aca="false">M174+H175*Допущения!$B$18</f>
        <v>0.467499990775884</v>
      </c>
      <c r="N175" s="19" t="n">
        <f aca="false">N174+I175*Допущения!$B$18</f>
        <v>0.300575003807499</v>
      </c>
      <c r="O175" s="19" t="n">
        <f aca="false">O174+G175+H175+I175</f>
        <v>8.45382195268236</v>
      </c>
      <c r="P175" s="17" t="n">
        <f aca="false">P174+F175</f>
        <v>0.124107889792851</v>
      </c>
      <c r="Q175" s="6" t="n">
        <f aca="false">MIN(MATCH(A175,$S$3:$X$3,1),5)</f>
        <v>4</v>
      </c>
    </row>
    <row r="176" customFormat="false" ht="15" hidden="false" customHeight="false" outlineLevel="0" collapsed="false">
      <c r="A176" s="6" t="n">
        <v>169</v>
      </c>
      <c r="B176" s="14" t="n">
        <f aca="false">INDEX($S$4:$X$4,Q176)*(INDEX($S$4:$X$4,Q176+1)/INDEX($S$4:$X$4,Q176))^((LN(A176)-LN(INDEX($S$3:$X$3,Q176)))/(LN(INDEX($S$3:$X$3,Q176+1))-LN(INDEX($S$3:$X$3,Q176))))</f>
        <v>0.0126802928266222</v>
      </c>
      <c r="C176" s="33" t="n">
        <f aca="false">C175+B176</f>
        <v>7.04250139898338</v>
      </c>
      <c r="D176" s="36" t="n">
        <f aca="false">Допущения!$B$19*(1-EXP(-Допущения!$B$26*(A176+1)))</f>
        <v>0.00999999982235528</v>
      </c>
      <c r="E176" s="37" t="n">
        <f aca="false">D176-D175</f>
        <v>1.96625875303891E-011</v>
      </c>
      <c r="F176" s="37" t="n">
        <f aca="false">D176*MIN(1,B176*Допущения!$B$21)</f>
        <v>0.000317007315034087</v>
      </c>
      <c r="G176" s="17" t="n">
        <f aca="false">((B176-F176*Допущения!$B$23)*Допущения!$B$13*Допущения!$B$15+B176*Допущения!$B$14*Допущения!$B$16)/1000</f>
        <v>0.012472970039211</v>
      </c>
      <c r="H176" s="17" t="n">
        <f aca="false">E176*Допущения!$B$27</f>
        <v>1.83845193409138E-009</v>
      </c>
      <c r="I176" s="17" t="n">
        <f aca="false">F176*Допущения!$B$22/30*Допущения!$B$28</f>
        <v>0.00153551035445717</v>
      </c>
      <c r="J176" s="17" t="n">
        <f aca="false">G176*Допущения!$B$17+(H176+I176)*Допущения!$B$18</f>
        <v>0.00700424111606006</v>
      </c>
      <c r="K176" s="19" t="n">
        <f aca="false">K175+J176</f>
        <v>4.23391521745723</v>
      </c>
      <c r="L176" s="19" t="n">
        <f aca="false">L175+G176*Допущения!$B$17</f>
        <v>3.4650724667774</v>
      </c>
      <c r="M176" s="19" t="n">
        <f aca="false">M175+H176*Допущения!$B$18</f>
        <v>0.46749999169511</v>
      </c>
      <c r="N176" s="19" t="n">
        <f aca="false">N175+I176*Допущения!$B$18</f>
        <v>0.301342758984728</v>
      </c>
      <c r="O176" s="19" t="n">
        <f aca="false">O175+G176+H176+I176</f>
        <v>8.46783043491448</v>
      </c>
      <c r="P176" s="17" t="n">
        <f aca="false">P175+F176</f>
        <v>0.124424897107885</v>
      </c>
      <c r="Q176" s="6" t="n">
        <f aca="false">MIN(MATCH(A176,$S$3:$X$3,1),5)</f>
        <v>4</v>
      </c>
    </row>
    <row r="177" customFormat="false" ht="15" hidden="false" customHeight="false" outlineLevel="0" collapsed="false">
      <c r="A177" s="6" t="n">
        <v>170</v>
      </c>
      <c r="B177" s="14" t="n">
        <f aca="false">INDEX($S$4:$X$4,Q177)*(INDEX($S$4:$X$4,Q177+1)/INDEX($S$4:$X$4,Q177))^((LN(A177)-LN(INDEX($S$3:$X$3,Q177)))/(LN(INDEX($S$3:$X$3,Q177+1))-LN(INDEX($S$3:$X$3,Q177))))</f>
        <v>0.0126150420764828</v>
      </c>
      <c r="C177" s="33" t="n">
        <f aca="false">C176+B177</f>
        <v>7.05511644105986</v>
      </c>
      <c r="D177" s="36" t="n">
        <f aca="false">Допущения!$B$19*(1-EXP(-Допущения!$B$26*(A177+1)))</f>
        <v>0.0099999998400584</v>
      </c>
      <c r="E177" s="37" t="n">
        <f aca="false">D177-D176</f>
        <v>1.77031202197586E-011</v>
      </c>
      <c r="F177" s="37" t="n">
        <f aca="false">D177*MIN(1,B177*Допущения!$B$21)</f>
        <v>0.000315376046867896</v>
      </c>
      <c r="G177" s="17" t="n">
        <f aca="false">((B177-F177*Допущения!$B$23)*Допущения!$B$13*Допущения!$B$15+B177*Допущения!$B$14*Допущения!$B$16)/1000</f>
        <v>0.0124087861388047</v>
      </c>
      <c r="H177" s="17" t="n">
        <f aca="false">E177*Допущения!$B$27</f>
        <v>1.65524174054743E-009</v>
      </c>
      <c r="I177" s="17" t="n">
        <f aca="false">F177*Допущения!$B$22/30*Допущения!$B$28</f>
        <v>0.00152760886751573</v>
      </c>
      <c r="J177" s="17" t="n">
        <f aca="false">G177*Допущения!$B$17+(H177+I177)*Допущения!$B$18</f>
        <v>0.0069681983307811</v>
      </c>
      <c r="K177" s="19" t="n">
        <f aca="false">K176+J177</f>
        <v>4.24088341578801</v>
      </c>
      <c r="L177" s="19" t="n">
        <f aca="false">L176+G177*Допущения!$B$17</f>
        <v>3.4712768598468</v>
      </c>
      <c r="M177" s="19" t="n">
        <f aca="false">M176+H177*Допущения!$B$18</f>
        <v>0.467499992522731</v>
      </c>
      <c r="N177" s="19" t="n">
        <f aca="false">N176+I177*Допущения!$B$18</f>
        <v>0.302106563418486</v>
      </c>
      <c r="O177" s="19" t="n">
        <f aca="false">O176+G177+H177+I177</f>
        <v>8.48176683157604</v>
      </c>
      <c r="P177" s="17" t="n">
        <f aca="false">P176+F177</f>
        <v>0.124740273154753</v>
      </c>
      <c r="Q177" s="6" t="n">
        <f aca="false">MIN(MATCH(A177,$S$3:$X$3,1),5)</f>
        <v>4</v>
      </c>
    </row>
    <row r="178" customFormat="false" ht="15" hidden="false" customHeight="false" outlineLevel="0" collapsed="false">
      <c r="A178" s="6" t="n">
        <v>171</v>
      </c>
      <c r="B178" s="14" t="n">
        <f aca="false">INDEX($S$4:$X$4,Q178)*(INDEX($S$4:$X$4,Q178+1)/INDEX($S$4:$X$4,Q178))^((LN(A178)-LN(INDEX($S$3:$X$3,Q178)))/(LN(INDEX($S$3:$X$3,Q178+1))-LN(INDEX($S$3:$X$3,Q178))))</f>
        <v>0.0125505068558941</v>
      </c>
      <c r="C178" s="33" t="n">
        <f aca="false">C177+B178</f>
        <v>7.06766694791575</v>
      </c>
      <c r="D178" s="36" t="n">
        <f aca="false">Допущения!$B$19*(1-EXP(-Допущения!$B$26*(A178+1)))</f>
        <v>0.00999999985599733</v>
      </c>
      <c r="E178" s="37" t="n">
        <f aca="false">D178-D177</f>
        <v>1.59389220572015E-011</v>
      </c>
      <c r="F178" s="37" t="n">
        <f aca="false">D178*MIN(1,B178*Допущения!$B$21)</f>
        <v>0.000313762666879086</v>
      </c>
      <c r="G178" s="17" t="n">
        <f aca="false">((B178-F178*Допущения!$B$23)*Допущения!$B$13*Допущения!$B$15+B178*Допущения!$B$14*Допущения!$B$16)/1000</f>
        <v>0.0123453060690442</v>
      </c>
      <c r="H178" s="17" t="n">
        <f aca="false">E178*Допущения!$B$27</f>
        <v>1.49028921234834E-009</v>
      </c>
      <c r="I178" s="17" t="n">
        <f aca="false">F178*Допущения!$B$22/30*Допущения!$B$28</f>
        <v>0.00151979402678176</v>
      </c>
      <c r="J178" s="17" t="n">
        <f aca="false">G178*Допущения!$B$17+(H178+I178)*Допущения!$B$18</f>
        <v>0.00693255079305759</v>
      </c>
      <c r="K178" s="19" t="n">
        <f aca="false">K177+J178</f>
        <v>4.24781596658107</v>
      </c>
      <c r="L178" s="19" t="n">
        <f aca="false">L177+G178*Допущения!$B$17</f>
        <v>3.47744951288132</v>
      </c>
      <c r="M178" s="19" t="n">
        <f aca="false">M177+H178*Допущения!$B$18</f>
        <v>0.467499993267875</v>
      </c>
      <c r="N178" s="19" t="n">
        <f aca="false">N177+I178*Допущения!$B$18</f>
        <v>0.302866460431877</v>
      </c>
      <c r="O178" s="19" t="n">
        <f aca="false">O177+G178+H178+I178</f>
        <v>8.49563193316216</v>
      </c>
      <c r="P178" s="17" t="n">
        <f aca="false">P177+F178</f>
        <v>0.125054035821632</v>
      </c>
      <c r="Q178" s="6" t="n">
        <f aca="false">MIN(MATCH(A178,$S$3:$X$3,1),5)</f>
        <v>4</v>
      </c>
    </row>
    <row r="179" customFormat="false" ht="15" hidden="false" customHeight="false" outlineLevel="0" collapsed="false">
      <c r="A179" s="6" t="n">
        <v>172</v>
      </c>
      <c r="B179" s="14" t="n">
        <f aca="false">INDEX($S$4:$X$4,Q179)*(INDEX($S$4:$X$4,Q179+1)/INDEX($S$4:$X$4,Q179))^((LN(A179)-LN(INDEX($S$3:$X$3,Q179)))/(LN(INDEX($S$3:$X$3,Q179+1))-LN(INDEX($S$3:$X$3,Q179))))</f>
        <v>0.012486675202523</v>
      </c>
      <c r="C179" s="33" t="n">
        <f aca="false">C178+B179</f>
        <v>7.08015362311828</v>
      </c>
      <c r="D179" s="36" t="n">
        <f aca="false">Допущения!$B$19*(1-EXP(-Допущения!$B$26*(A179+1)))</f>
        <v>0.00999999987034786</v>
      </c>
      <c r="E179" s="37" t="n">
        <f aca="false">D179-D178</f>
        <v>1.43505346494877E-011</v>
      </c>
      <c r="F179" s="37" t="n">
        <f aca="false">D179*MIN(1,B179*Допущения!$B$21)</f>
        <v>0.000312166876015765</v>
      </c>
      <c r="G179" s="17" t="n">
        <f aca="false">((B179-F179*Допущения!$B$23)*Допущения!$B$13*Допущения!$B$15+B179*Допущения!$B$14*Допущения!$B$16)/1000</f>
        <v>0.0122825180631803</v>
      </c>
      <c r="H179" s="17" t="n">
        <f aca="false">E179*Допущения!$B$27</f>
        <v>1.3417749897271E-009</v>
      </c>
      <c r="I179" s="17" t="n">
        <f aca="false">F179*Допущения!$B$22/30*Допущения!$B$28</f>
        <v>0.00151206438371686</v>
      </c>
      <c r="J179" s="17" t="n">
        <f aca="false">G179*Допущения!$B$17+(H179+I179)*Допущения!$B$18</f>
        <v>0.00689729189433607</v>
      </c>
      <c r="K179" s="19" t="n">
        <f aca="false">K178+J179</f>
        <v>4.25471325847541</v>
      </c>
      <c r="L179" s="19" t="n">
        <f aca="false">L178+G179*Допущения!$B$17</f>
        <v>3.48359077191291</v>
      </c>
      <c r="M179" s="19" t="n">
        <f aca="false">M178+H179*Допущения!$B$18</f>
        <v>0.467499993938763</v>
      </c>
      <c r="N179" s="19" t="n">
        <f aca="false">N178+I179*Допущения!$B$18</f>
        <v>0.303622492623735</v>
      </c>
      <c r="O179" s="19" t="n">
        <f aca="false">O178+G179+H179+I179</f>
        <v>8.50942651695083</v>
      </c>
      <c r="P179" s="17" t="n">
        <f aca="false">P178+F179</f>
        <v>0.125366202697648</v>
      </c>
      <c r="Q179" s="6" t="n">
        <f aca="false">MIN(MATCH(A179,$S$3:$X$3,1),5)</f>
        <v>4</v>
      </c>
    </row>
    <row r="180" customFormat="false" ht="15" hidden="false" customHeight="false" outlineLevel="0" collapsed="false">
      <c r="A180" s="6" t="n">
        <v>173</v>
      </c>
      <c r="B180" s="14" t="n">
        <f aca="false">INDEX($S$4:$X$4,Q180)*(INDEX($S$4:$X$4,Q180+1)/INDEX($S$4:$X$4,Q180))^((LN(A180)-LN(INDEX($S$3:$X$3,Q180)))/(LN(INDEX($S$3:$X$3,Q180+1))-LN(INDEX($S$3:$X$3,Q180))))</f>
        <v>0.0124235354220401</v>
      </c>
      <c r="C180" s="33" t="n">
        <f aca="false">C179+B180</f>
        <v>7.09257715854032</v>
      </c>
      <c r="D180" s="36" t="n">
        <f aca="false">Допущения!$B$19*(1-EXP(-Допущения!$B$26*(A180+1)))</f>
        <v>0.0099999998832683</v>
      </c>
      <c r="E180" s="37" t="n">
        <f aca="false">D180-D179</f>
        <v>1.29204372895098E-011</v>
      </c>
      <c r="F180" s="37" t="n">
        <f aca="false">D180*MIN(1,B180*Допущения!$B$21)</f>
        <v>0.000310588381925451</v>
      </c>
      <c r="G180" s="17" t="n">
        <f aca="false">((B180-F180*Допущения!$B$23)*Допущения!$B$13*Допущения!$B$15+B180*Допущения!$B$14*Допущения!$B$16)/1000</f>
        <v>0.0122204106180855</v>
      </c>
      <c r="H180" s="17" t="n">
        <f aca="false">E180*Допущения!$B$27</f>
        <v>1.20806088656916E-009</v>
      </c>
      <c r="I180" s="17" t="n">
        <f aca="false">F180*Допущения!$B$22/30*Допущения!$B$28</f>
        <v>0.00150441852223298</v>
      </c>
      <c r="J180" s="17" t="n">
        <f aca="false">G180*Допущения!$B$17+(H180+I180)*Допущения!$B$18</f>
        <v>0.00686241517418968</v>
      </c>
      <c r="K180" s="19" t="n">
        <f aca="false">K179+J180</f>
        <v>4.2615756736496</v>
      </c>
      <c r="L180" s="19" t="n">
        <f aca="false">L179+G180*Допущения!$B$17</f>
        <v>3.48970097722196</v>
      </c>
      <c r="M180" s="19" t="n">
        <f aca="false">M179+H180*Допущения!$B$18</f>
        <v>0.467499994542793</v>
      </c>
      <c r="N180" s="19" t="n">
        <f aca="false">N179+I180*Допущения!$B$18</f>
        <v>0.304374701884852</v>
      </c>
      <c r="O180" s="19" t="n">
        <f aca="false">O179+G180+H180+I180</f>
        <v>8.52315134729921</v>
      </c>
      <c r="P180" s="17" t="n">
        <f aca="false">P179+F180</f>
        <v>0.125676791079574</v>
      </c>
      <c r="Q180" s="6" t="n">
        <f aca="false">MIN(MATCH(A180,$S$3:$X$3,1),5)</f>
        <v>4</v>
      </c>
    </row>
    <row r="181" customFormat="false" ht="15" hidden="false" customHeight="false" outlineLevel="0" collapsed="false">
      <c r="A181" s="6" t="n">
        <v>174</v>
      </c>
      <c r="B181" s="14" t="n">
        <f aca="false">INDEX($S$4:$X$4,Q181)*(INDEX($S$4:$X$4,Q181+1)/INDEX($S$4:$X$4,Q181))^((LN(A181)-LN(INDEX($S$3:$X$3,Q181)))/(LN(INDEX($S$3:$X$3,Q181+1))-LN(INDEX($S$3:$X$3,Q181))))</f>
        <v>0.0123610760806086</v>
      </c>
      <c r="C181" s="33" t="n">
        <f aca="false">C180+B181</f>
        <v>7.10493823462092</v>
      </c>
      <c r="D181" s="36" t="n">
        <f aca="false">Допущения!$B$19*(1-EXP(-Допущения!$B$26*(A181+1)))</f>
        <v>0.00999999989490115</v>
      </c>
      <c r="E181" s="37" t="n">
        <f aca="false">D181-D180</f>
        <v>1.16328561367007E-011</v>
      </c>
      <c r="F181" s="37" t="n">
        <f aca="false">D181*MIN(1,B181*Допущения!$B$21)</f>
        <v>0.000309026898767378</v>
      </c>
      <c r="G181" s="17" t="n">
        <f aca="false">((B181-F181*Допущения!$B$23)*Допущения!$B$13*Допущения!$B$15+B181*Допущения!$B$14*Допущения!$B$16)/1000</f>
        <v>0.012158972486866</v>
      </c>
      <c r="H181" s="17" t="n">
        <f aca="false">E181*Допущения!$B$27</f>
        <v>1.08767204878152E-009</v>
      </c>
      <c r="I181" s="17" t="n">
        <f aca="false">F181*Допущения!$B$22/30*Допущения!$B$28</f>
        <v>0.00149685505778336</v>
      </c>
      <c r="J181" s="17" t="n">
        <f aca="false">G181*Допущения!$B$17+(H181+I181)*Допущения!$B$18</f>
        <v>0.00682791431616072</v>
      </c>
      <c r="K181" s="19" t="n">
        <f aca="false">K180+J181</f>
        <v>4.26840358796576</v>
      </c>
      <c r="L181" s="19" t="n">
        <f aca="false">L180+G181*Допущения!$B$17</f>
        <v>3.49578046346539</v>
      </c>
      <c r="M181" s="19" t="n">
        <f aca="false">M180+H181*Допущения!$B$18</f>
        <v>0.467499995086629</v>
      </c>
      <c r="N181" s="19" t="n">
        <f aca="false">N180+I181*Допущения!$B$18</f>
        <v>0.305123129413743</v>
      </c>
      <c r="O181" s="19" t="n">
        <f aca="false">O180+G181+H181+I181</f>
        <v>8.53680717593153</v>
      </c>
      <c r="P181" s="17" t="n">
        <f aca="false">P180+F181</f>
        <v>0.125985817978341</v>
      </c>
      <c r="Q181" s="6" t="n">
        <f aca="false">MIN(MATCH(A181,$S$3:$X$3,1),5)</f>
        <v>4</v>
      </c>
    </row>
    <row r="182" customFormat="false" ht="15" hidden="false" customHeight="false" outlineLevel="0" collapsed="false">
      <c r="A182" s="6" t="n">
        <v>175</v>
      </c>
      <c r="B182" s="14" t="n">
        <f aca="false">INDEX($S$4:$X$4,Q182)*(INDEX($S$4:$X$4,Q182+1)/INDEX($S$4:$X$4,Q182))^((LN(A182)-LN(INDEX($S$3:$X$3,Q182)))/(LN(INDEX($S$3:$X$3,Q182+1))-LN(INDEX($S$3:$X$3,Q182))))</f>
        <v>0.0122992859976263</v>
      </c>
      <c r="C182" s="33" t="n">
        <f aca="false">C181+B182</f>
        <v>7.11723752061855</v>
      </c>
      <c r="D182" s="36" t="n">
        <f aca="false">Допущения!$B$19*(1-EXP(-Допущения!$B$26*(A182+1)))</f>
        <v>0.00999999990537474</v>
      </c>
      <c r="E182" s="37" t="n">
        <f aca="false">D182-D181</f>
        <v>1.04735872752393E-011</v>
      </c>
      <c r="F182" s="37" t="n">
        <f aca="false">D182*MIN(1,B182*Допущения!$B$21)</f>
        <v>0.000307482147031099</v>
      </c>
      <c r="G182" s="17" t="n">
        <f aca="false">((B182-F182*Допущения!$B$23)*Допущения!$B$13*Допущения!$B$15+B182*Допущения!$B$14*Допущения!$B$16)/1000</f>
        <v>0.0120981926717222</v>
      </c>
      <c r="H182" s="17" t="n">
        <f aca="false">E182*Допущения!$B$27</f>
        <v>9.79280410234873E-010</v>
      </c>
      <c r="I182" s="17" t="n">
        <f aca="false">F182*Допущения!$B$22/30*Допущения!$B$28</f>
        <v>0.00148937263648381</v>
      </c>
      <c r="J182" s="17" t="n">
        <f aca="false">G182*Допущения!$B$17+(H182+I182)*Допущения!$B$18</f>
        <v>0.00679378314374321</v>
      </c>
      <c r="K182" s="19" t="n">
        <f aca="false">K181+J182</f>
        <v>4.2751973711095</v>
      </c>
      <c r="L182" s="19" t="n">
        <f aca="false">L181+G182*Допущения!$B$17</f>
        <v>3.50182955980125</v>
      </c>
      <c r="M182" s="19" t="n">
        <f aca="false">M181+H182*Допущения!$B$18</f>
        <v>0.46749999557627</v>
      </c>
      <c r="N182" s="19" t="n">
        <f aca="false">N181+I182*Допущения!$B$18</f>
        <v>0.305867815731985</v>
      </c>
      <c r="O182" s="19" t="n">
        <f aca="false">O181+G182+H182+I182</f>
        <v>8.55039474221902</v>
      </c>
      <c r="P182" s="17" t="n">
        <f aca="false">P181+F182</f>
        <v>0.126293300125372</v>
      </c>
      <c r="Q182" s="6" t="n">
        <f aca="false">MIN(MATCH(A182,$S$3:$X$3,1),5)</f>
        <v>4</v>
      </c>
    </row>
    <row r="183" customFormat="false" ht="15" hidden="false" customHeight="false" outlineLevel="0" collapsed="false">
      <c r="A183" s="6" t="n">
        <v>176</v>
      </c>
      <c r="B183" s="14" t="n">
        <f aca="false">INDEX($S$4:$X$4,Q183)*(INDEX($S$4:$X$4,Q183+1)/INDEX($S$4:$X$4,Q183))^((LN(A183)-LN(INDEX($S$3:$X$3,Q183)))/(LN(INDEX($S$3:$X$3,Q183+1))-LN(INDEX($S$3:$X$3,Q183))))</f>
        <v>0.0122381542387091</v>
      </c>
      <c r="C183" s="33" t="n">
        <f aca="false">C182+B183</f>
        <v>7.12947567485726</v>
      </c>
      <c r="D183" s="36" t="n">
        <f aca="false">Допущения!$B$19*(1-EXP(-Допущения!$B$26*(A183+1)))</f>
        <v>0.00999999991480459</v>
      </c>
      <c r="E183" s="37" t="n">
        <f aca="false">D183-D182</f>
        <v>9.42984579310746E-012</v>
      </c>
      <c r="F183" s="37" t="n">
        <f aca="false">D183*MIN(1,B183*Допущения!$B$21)</f>
        <v>0.000305953853361141</v>
      </c>
      <c r="G183" s="17" t="n">
        <f aca="false">((B183-F183*Допущения!$B$23)*Допущения!$B$13*Допущения!$B$15+B183*Допущения!$B$14*Допущения!$B$16)/1000</f>
        <v>0.0120380604170469</v>
      </c>
      <c r="H183" s="17" t="n">
        <f aca="false">E183*Допущения!$B$27</f>
        <v>8.81690581655548E-010</v>
      </c>
      <c r="I183" s="17" t="n">
        <f aca="false">F183*Допущения!$B$22/30*Допущения!$B$28</f>
        <v>0.00148196993426346</v>
      </c>
      <c r="J183" s="17" t="n">
        <f aca="false">G183*Допущения!$B$17+(H183+I183)*Допущения!$B$18</f>
        <v>0.00676001561650049</v>
      </c>
      <c r="K183" s="19" t="n">
        <f aca="false">K182+J183</f>
        <v>4.281957386726</v>
      </c>
      <c r="L183" s="19" t="n">
        <f aca="false">L182+G183*Допущения!$B$17</f>
        <v>3.50784859000977</v>
      </c>
      <c r="M183" s="19" t="n">
        <f aca="false">M182+H183*Допущения!$B$18</f>
        <v>0.467499996017115</v>
      </c>
      <c r="N183" s="19" t="n">
        <f aca="false">N182+I183*Допущения!$B$18</f>
        <v>0.306608800699117</v>
      </c>
      <c r="O183" s="19" t="n">
        <f aca="false">O182+G183+H183+I183</f>
        <v>8.56391477345202</v>
      </c>
      <c r="P183" s="17" t="n">
        <f aca="false">P182+F183</f>
        <v>0.126599253978733</v>
      </c>
      <c r="Q183" s="6" t="n">
        <f aca="false">MIN(MATCH(A183,$S$3:$X$3,1),5)</f>
        <v>4</v>
      </c>
    </row>
    <row r="184" customFormat="false" ht="15" hidden="false" customHeight="false" outlineLevel="0" collapsed="false">
      <c r="A184" s="6" t="n">
        <v>177</v>
      </c>
      <c r="B184" s="14" t="n">
        <f aca="false">INDEX($S$4:$X$4,Q184)*(INDEX($S$4:$X$4,Q184+1)/INDEX($S$4:$X$4,Q184))^((LN(A184)-LN(INDEX($S$3:$X$3,Q184)))/(LN(INDEX($S$3:$X$3,Q184+1))-LN(INDEX($S$3:$X$3,Q184))))</f>
        <v>0.0121776701089082</v>
      </c>
      <c r="C184" s="33" t="n">
        <f aca="false">C183+B184</f>
        <v>7.14165334496617</v>
      </c>
      <c r="D184" s="36" t="n">
        <f aca="false">Допущения!$B$19*(1-EXP(-Допущения!$B$26*(A184+1)))</f>
        <v>0.00999999992329471</v>
      </c>
      <c r="E184" s="37" t="n">
        <f aca="false">D184-D183</f>
        <v>8.49011833059521E-012</v>
      </c>
      <c r="F184" s="37" t="n">
        <f aca="false">D184*MIN(1,B184*Допущения!$B$21)</f>
        <v>0.000304441750387476</v>
      </c>
      <c r="G184" s="17" t="n">
        <f aca="false">((B184-F184*Допущения!$B$23)*Допущения!$B$13*Допущения!$B$15+B184*Допущения!$B$14*Допущения!$B$16)/1000</f>
        <v>0.0119785652027537</v>
      </c>
      <c r="H184" s="17" t="n">
        <f aca="false">E184*Допущения!$B$27</f>
        <v>7.93826063910652E-010</v>
      </c>
      <c r="I184" s="17" t="n">
        <f aca="false">F184*Допущения!$B$22/30*Допущения!$B$28</f>
        <v>0.00147464565604351</v>
      </c>
      <c r="J184" s="17" t="n">
        <f aca="false">G184*Допущения!$B$17+(H184+I184)*Допущения!$B$18</f>
        <v>0.00672660582631162</v>
      </c>
      <c r="K184" s="19" t="n">
        <f aca="false">K183+J184</f>
        <v>4.28868399255231</v>
      </c>
      <c r="L184" s="19" t="n">
        <f aca="false">L183+G184*Допущения!$B$17</f>
        <v>3.51383787261115</v>
      </c>
      <c r="M184" s="19" t="n">
        <f aca="false">M183+H184*Допущения!$B$18</f>
        <v>0.467499996414028</v>
      </c>
      <c r="N184" s="19" t="n">
        <f aca="false">N183+I184*Допущения!$B$18</f>
        <v>0.307346123527139</v>
      </c>
      <c r="O184" s="19" t="n">
        <f aca="false">O183+G184+H184+I184</f>
        <v>8.57736798510464</v>
      </c>
      <c r="P184" s="17" t="n">
        <f aca="false">P183+F184</f>
        <v>0.126903695729121</v>
      </c>
      <c r="Q184" s="6" t="n">
        <f aca="false">MIN(MATCH(A184,$S$3:$X$3,1),5)</f>
        <v>4</v>
      </c>
    </row>
    <row r="185" customFormat="false" ht="15" hidden="false" customHeight="false" outlineLevel="0" collapsed="false">
      <c r="A185" s="6" t="n">
        <v>178</v>
      </c>
      <c r="B185" s="14" t="n">
        <f aca="false">INDEX($S$4:$X$4,Q185)*(INDEX($S$4:$X$4,Q185+1)/INDEX($S$4:$X$4,Q185))^((LN(A185)-LN(INDEX($S$3:$X$3,Q185)))/(LN(INDEX($S$3:$X$3,Q185+1))-LN(INDEX($S$3:$X$3,Q185))))</f>
        <v>0.0121178231461509</v>
      </c>
      <c r="C185" s="33" t="n">
        <f aca="false">C184+B185</f>
        <v>7.15377116811232</v>
      </c>
      <c r="D185" s="36" t="n">
        <f aca="false">Допущения!$B$19*(1-EXP(-Допущения!$B$26*(A185+1)))</f>
        <v>0.00999999993093874</v>
      </c>
      <c r="E185" s="37" t="n">
        <f aca="false">D185-D184</f>
        <v>7.64403818021009E-012</v>
      </c>
      <c r="F185" s="37" t="n">
        <f aca="false">D185*MIN(1,B185*Допущения!$B$21)</f>
        <v>0.000302945576561592</v>
      </c>
      <c r="G185" s="17" t="n">
        <f aca="false">((B185-F185*Допущения!$B$23)*Допущения!$B$13*Допущения!$B$15+B185*Допущения!$B$14*Допущения!$B$16)/1000</f>
        <v>0.0119196967378243</v>
      </c>
      <c r="H185" s="17" t="n">
        <f aca="false">E185*Допущения!$B$27</f>
        <v>7.14717569849643E-010</v>
      </c>
      <c r="I185" s="17" t="n">
        <f aca="false">F185*Допущения!$B$22/30*Допущения!$B$28</f>
        <v>0.00146739853494327</v>
      </c>
      <c r="J185" s="17" t="n">
        <f aca="false">G185*Допущения!$B$17+(H185+I185)*Допущения!$B$18</f>
        <v>0.00669354799374257</v>
      </c>
      <c r="K185" s="19" t="n">
        <f aca="false">K184+J185</f>
        <v>4.29537754054605</v>
      </c>
      <c r="L185" s="19" t="n">
        <f aca="false">L184+G185*Допущения!$B$17</f>
        <v>3.51979772098006</v>
      </c>
      <c r="M185" s="19" t="n">
        <f aca="false">M184+H185*Допущения!$B$18</f>
        <v>0.467499996771387</v>
      </c>
      <c r="N185" s="19" t="n">
        <f aca="false">N184+I185*Допущения!$B$18</f>
        <v>0.30807982279461</v>
      </c>
      <c r="O185" s="19" t="n">
        <f aca="false">O184+G185+H185+I185</f>
        <v>8.59075508109213</v>
      </c>
      <c r="P185" s="17" t="n">
        <f aca="false">P184+F185</f>
        <v>0.127206641305682</v>
      </c>
      <c r="Q185" s="6" t="n">
        <f aca="false">MIN(MATCH(A185,$S$3:$X$3,1),5)</f>
        <v>4</v>
      </c>
    </row>
    <row r="186" customFormat="false" ht="15" hidden="false" customHeight="false" outlineLevel="0" collapsed="false">
      <c r="A186" s="6" t="n">
        <v>179</v>
      </c>
      <c r="B186" s="14" t="n">
        <f aca="false">INDEX($S$4:$X$4,Q186)*(INDEX($S$4:$X$4,Q186+1)/INDEX($S$4:$X$4,Q186))^((LN(A186)-LN(INDEX($S$3:$X$3,Q186)))/(LN(INDEX($S$3:$X$3,Q186+1))-LN(INDEX($S$3:$X$3,Q186))))</f>
        <v>0.0120586031148965</v>
      </c>
      <c r="C186" s="33" t="n">
        <f aca="false">C185+B186</f>
        <v>7.16582977122722</v>
      </c>
      <c r="D186" s="36" t="n">
        <f aca="false">Допущения!$B$19*(1-EXP(-Допущения!$B$26*(A186+1)))</f>
        <v>0.00999999993782102</v>
      </c>
      <c r="E186" s="37" t="n">
        <f aca="false">D186-D185</f>
        <v>6.88227426437482E-012</v>
      </c>
      <c r="F186" s="37" t="n">
        <f aca="false">D186*MIN(1,B186*Допущения!$B$21)</f>
        <v>0.000301465075997934</v>
      </c>
      <c r="G186" s="17" t="n">
        <f aca="false">((B186-F186*Допущения!$B$23)*Допущения!$B$13*Допущения!$B$15+B186*Допущения!$B$14*Допущения!$B$16)/1000</f>
        <v>0.0118614449540692</v>
      </c>
      <c r="H186" s="17" t="n">
        <f aca="false">E186*Допущения!$B$27</f>
        <v>6.43492643719046E-010</v>
      </c>
      <c r="I186" s="17" t="n">
        <f aca="false">F186*Допущения!$B$22/30*Допущения!$B$28</f>
        <v>0.00146022733151211</v>
      </c>
      <c r="J186" s="17" t="n">
        <f aca="false">G186*Допущения!$B$17+(H186+I186)*Допущения!$B$18</f>
        <v>0.00666083646453697</v>
      </c>
      <c r="K186" s="19" t="n">
        <f aca="false">K185+J186</f>
        <v>4.30203837701059</v>
      </c>
      <c r="L186" s="19" t="n">
        <f aca="false">L185+G186*Допущения!$B$17</f>
        <v>3.5257284434571</v>
      </c>
      <c r="M186" s="19" t="n">
        <f aca="false">M185+H186*Допущения!$B$18</f>
        <v>0.467499997093133</v>
      </c>
      <c r="N186" s="19" t="n">
        <f aca="false">N185+I186*Допущения!$B$18</f>
        <v>0.308809936460366</v>
      </c>
      <c r="O186" s="19" t="n">
        <f aca="false">O185+G186+H186+I186</f>
        <v>8.6040767540212</v>
      </c>
      <c r="P186" s="17" t="n">
        <f aca="false">P185+F186</f>
        <v>0.12750810638168</v>
      </c>
      <c r="Q186" s="6" t="n">
        <f aca="false">MIN(MATCH(A186,$S$3:$X$3,1),5)</f>
        <v>4</v>
      </c>
    </row>
    <row r="187" customFormat="false" ht="15" hidden="false" customHeight="false" outlineLevel="0" collapsed="false">
      <c r="A187" s="6" t="n">
        <v>180</v>
      </c>
      <c r="B187" s="14" t="n">
        <f aca="false">INDEX($S$4:$X$4,Q187)*(INDEX($S$4:$X$4,Q187+1)/INDEX($S$4:$X$4,Q187))^((LN(A187)-LN(INDEX($S$3:$X$3,Q187)))/(LN(INDEX($S$3:$X$3,Q187+1))-LN(INDEX($S$3:$X$3,Q187))))</f>
        <v>0.012</v>
      </c>
      <c r="C187" s="33" t="n">
        <f aca="false">C186+B187</f>
        <v>7.17782977122721</v>
      </c>
      <c r="D187" s="36" t="n">
        <f aca="false">Допущения!$B$19*(1-EXP(-Допущения!$B$26*(A187+1)))</f>
        <v>0.00999999994401744</v>
      </c>
      <c r="E187" s="37" t="n">
        <f aca="false">D187-D186</f>
        <v>6.19642531729525E-012</v>
      </c>
      <c r="F187" s="37" t="n">
        <f aca="false">D187*MIN(1,B187*Допущения!$B$21)</f>
        <v>0.000299999998320523</v>
      </c>
      <c r="G187" s="17" t="n">
        <f aca="false">((B187-F187*Допущения!$B$23)*Допущения!$B$13*Допущения!$B$15+B187*Допущения!$B$14*Допущения!$B$16)/1000</f>
        <v>0.0118038000000907</v>
      </c>
      <c r="H187" s="17" t="n">
        <f aca="false">E187*Допущения!$B$27</f>
        <v>5.79365767167106E-010</v>
      </c>
      <c r="I187" s="17" t="n">
        <f aca="false">F187*Допущения!$B$22/30*Допущения!$B$28</f>
        <v>0.0014531308329865</v>
      </c>
      <c r="J187" s="17" t="n">
        <f aca="false">G187*Допущения!$B$17+(H187+I187)*Допущения!$B$18</f>
        <v>0.00662846570622148</v>
      </c>
      <c r="K187" s="19" t="n">
        <f aca="false">K186+J187</f>
        <v>4.30866684271681</v>
      </c>
      <c r="L187" s="19" t="n">
        <f aca="false">L186+G187*Допущения!$B$17</f>
        <v>3.53163034345714</v>
      </c>
      <c r="M187" s="19" t="n">
        <f aca="false">M186+H187*Допущения!$B$18</f>
        <v>0.467499997382816</v>
      </c>
      <c r="N187" s="19" t="n">
        <f aca="false">N186+I187*Допущения!$B$18</f>
        <v>0.30953650187686</v>
      </c>
      <c r="O187" s="19" t="n">
        <f aca="false">O186+G187+H187+I187</f>
        <v>8.61733368543364</v>
      </c>
      <c r="P187" s="17" t="n">
        <f aca="false">P186+F187</f>
        <v>0.127808106380001</v>
      </c>
      <c r="Q187" s="6" t="n">
        <f aca="false">MIN(MATCH(A187,$S$3:$X$3,1),5)</f>
        <v>5</v>
      </c>
    </row>
    <row r="188" customFormat="false" ht="15" hidden="false" customHeight="false" outlineLevel="0" collapsed="false">
      <c r="A188" s="6" t="n">
        <v>181</v>
      </c>
      <c r="B188" s="14" t="n">
        <f aca="false">INDEX($S$4:$X$4,Q188)*(INDEX($S$4:$X$4,Q188+1)/INDEX($S$4:$X$4,Q188))^((LN(A188)-LN(INDEX($S$3:$X$3,Q188)))/(LN(INDEX($S$3:$X$3,Q188+1))-LN(INDEX($S$3:$X$3,Q188))))</f>
        <v>0.0119179508752297</v>
      </c>
      <c r="C188" s="33" t="n">
        <f aca="false">C187+B188</f>
        <v>7.18974772210244</v>
      </c>
      <c r="D188" s="36" t="n">
        <f aca="false">Допущения!$B$19*(1-EXP(-Допущения!$B$26*(A188+1)))</f>
        <v>0.00999999994959636</v>
      </c>
      <c r="E188" s="37" t="n">
        <f aca="false">D188-D187</f>
        <v>5.57892100572222E-012</v>
      </c>
      <c r="F188" s="37" t="n">
        <f aca="false">D188*MIN(1,B188*Допущения!$B$21)</f>
        <v>0.000297948770378971</v>
      </c>
      <c r="G188" s="17" t="n">
        <f aca="false">((B188-F188*Допущения!$B$23)*Допущения!$B$13*Допущения!$B$15+B188*Допущения!$B$14*Допущения!$B$16)/1000</f>
        <v>0.0117230923785008</v>
      </c>
      <c r="H188" s="17" t="n">
        <f aca="false">E188*Допущения!$B$27</f>
        <v>5.21629114035027E-010</v>
      </c>
      <c r="I188" s="17" t="n">
        <f aca="false">F188*Допущения!$B$22/30*Допущения!$B$28</f>
        <v>0.00144319515770637</v>
      </c>
      <c r="J188" s="17" t="n">
        <f aca="false">G188*Допущения!$B$17+(H188+I188)*Допущения!$B$18</f>
        <v>0.00658314402891812</v>
      </c>
      <c r="K188" s="19" t="n">
        <f aca="false">K187+J188</f>
        <v>4.31524998674573</v>
      </c>
      <c r="L188" s="19" t="n">
        <f aca="false">L187+G188*Допущения!$B$17</f>
        <v>3.53749188964639</v>
      </c>
      <c r="M188" s="19" t="n">
        <f aca="false">M187+H188*Допущения!$B$18</f>
        <v>0.46749999764363</v>
      </c>
      <c r="N188" s="19" t="n">
        <f aca="false">N187+I188*Допущения!$B$18</f>
        <v>0.310258099455713</v>
      </c>
      <c r="O188" s="19" t="n">
        <f aca="false">O187+G188+H188+I188</f>
        <v>8.63049997349148</v>
      </c>
      <c r="P188" s="17" t="n">
        <f aca="false">P187+F188</f>
        <v>0.12810605515038</v>
      </c>
      <c r="Q188" s="6" t="n">
        <f aca="false">MIN(MATCH(A188,$S$3:$X$3,1),5)</f>
        <v>5</v>
      </c>
    </row>
    <row r="189" customFormat="false" ht="15" hidden="false" customHeight="false" outlineLevel="0" collapsed="false">
      <c r="A189" s="6" t="n">
        <v>182</v>
      </c>
      <c r="B189" s="14" t="n">
        <f aca="false">INDEX($S$4:$X$4,Q189)*(INDEX($S$4:$X$4,Q189+1)/INDEX($S$4:$X$4,Q189))^((LN(A189)-LN(INDEX($S$3:$X$3,Q189)))/(LN(INDEX($S$3:$X$3,Q189+1))-LN(INDEX($S$3:$X$3,Q189))))</f>
        <v>0.0118369101980386</v>
      </c>
      <c r="C189" s="33" t="n">
        <f aca="false">C188+B189</f>
        <v>7.20158463230048</v>
      </c>
      <c r="D189" s="36" t="n">
        <f aca="false">Допущения!$B$19*(1-EXP(-Допущения!$B$26*(A189+1)))</f>
        <v>0.00999999995461932</v>
      </c>
      <c r="E189" s="37" t="n">
        <f aca="false">D189-D188</f>
        <v>5.02295600945946E-012</v>
      </c>
      <c r="F189" s="37" t="n">
        <f aca="false">D189*MIN(1,B189*Допущения!$B$21)</f>
        <v>0.000295922753608048</v>
      </c>
      <c r="G189" s="17" t="n">
        <f aca="false">((B189-F189*Допущения!$B$23)*Допущения!$B$13*Допущения!$B$15+B189*Допущения!$B$14*Допущения!$B$16)/1000</f>
        <v>0.0116433767163732</v>
      </c>
      <c r="H189" s="17" t="n">
        <f aca="false">E189*Допущения!$B$27</f>
        <v>4.69646386884459E-010</v>
      </c>
      <c r="I189" s="17" t="n">
        <f aca="false">F189*Допущения!$B$22/30*Допущения!$B$28</f>
        <v>0.00143338159952484</v>
      </c>
      <c r="J189" s="17" t="n">
        <f aca="false">G189*Допущения!$B$17+(H189+I189)*Допущения!$B$18</f>
        <v>0.00653837939277222</v>
      </c>
      <c r="K189" s="19" t="n">
        <f aca="false">K188+J189</f>
        <v>4.3217883661385</v>
      </c>
      <c r="L189" s="19" t="n">
        <f aca="false">L188+G189*Допущения!$B$17</f>
        <v>3.54331357800458</v>
      </c>
      <c r="M189" s="19" t="n">
        <f aca="false">M188+H189*Допущения!$B$18</f>
        <v>0.467499997878454</v>
      </c>
      <c r="N189" s="19" t="n">
        <f aca="false">N188+I189*Допущения!$B$18</f>
        <v>0.310974790255475</v>
      </c>
      <c r="O189" s="19" t="n">
        <f aca="false">O188+G189+H189+I189</f>
        <v>8.64357673227702</v>
      </c>
      <c r="P189" s="17" t="n">
        <f aca="false">P188+F189</f>
        <v>0.128401977903988</v>
      </c>
      <c r="Q189" s="6" t="n">
        <f aca="false">MIN(MATCH(A189,$S$3:$X$3,1),5)</f>
        <v>5</v>
      </c>
    </row>
    <row r="190" customFormat="false" ht="15" hidden="false" customHeight="false" outlineLevel="0" collapsed="false">
      <c r="A190" s="6" t="n">
        <v>183</v>
      </c>
      <c r="B190" s="14" t="n">
        <f aca="false">INDEX($S$4:$X$4,Q190)*(INDEX($S$4:$X$4,Q190+1)/INDEX($S$4:$X$4,Q190))^((LN(A190)-LN(INDEX($S$3:$X$3,Q190)))/(LN(INDEX($S$3:$X$3,Q190+1))-LN(INDEX($S$3:$X$3,Q190))))</f>
        <v>0.0117568601344731</v>
      </c>
      <c r="C190" s="33" t="n">
        <f aca="false">C189+B190</f>
        <v>7.21334149243496</v>
      </c>
      <c r="D190" s="36" t="n">
        <f aca="false">Допущения!$B$19*(1-EXP(-Допущения!$B$26*(A190+1)))</f>
        <v>0.00999999995914172</v>
      </c>
      <c r="E190" s="37" t="n">
        <f aca="false">D190-D189</f>
        <v>4.52239634629592E-012</v>
      </c>
      <c r="F190" s="37" t="n">
        <f aca="false">D190*MIN(1,B190*Допущения!$B$21)</f>
        <v>0.000293921502160915</v>
      </c>
      <c r="G190" s="17" t="n">
        <f aca="false">((B190-F190*Допущения!$B$23)*Допущения!$B$13*Допущения!$B$15+B190*Допущения!$B$14*Допущения!$B$16)/1000</f>
        <v>0.0115646354713393</v>
      </c>
      <c r="H190" s="17" t="n">
        <f aca="false">E190*Допущения!$B$27</f>
        <v>4.22844058378669E-010</v>
      </c>
      <c r="I190" s="17" t="n">
        <f aca="false">F190*Допущения!$B$22/30*Допущения!$B$28</f>
        <v>0.00142368799886261</v>
      </c>
      <c r="J190" s="17" t="n">
        <f aca="false">G190*Допущения!$B$17+(H190+I190)*Допущения!$B$18</f>
        <v>0.00649416194652299</v>
      </c>
      <c r="K190" s="19" t="n">
        <f aca="false">K189+J190</f>
        <v>4.32828252808502</v>
      </c>
      <c r="L190" s="19" t="n">
        <f aca="false">L189+G190*Допущения!$B$17</f>
        <v>3.54909589574025</v>
      </c>
      <c r="M190" s="19" t="n">
        <f aca="false">M189+H190*Допущения!$B$18</f>
        <v>0.467499998089876</v>
      </c>
      <c r="N190" s="19" t="n">
        <f aca="false">N189+I190*Допущения!$B$18</f>
        <v>0.311686634254907</v>
      </c>
      <c r="O190" s="19" t="n">
        <f aca="false">O189+G190+H190+I190</f>
        <v>8.65656505617007</v>
      </c>
      <c r="P190" s="17" t="n">
        <f aca="false">P189+F190</f>
        <v>0.128695899406149</v>
      </c>
      <c r="Q190" s="6" t="n">
        <f aca="false">MIN(MATCH(A190,$S$3:$X$3,1),5)</f>
        <v>5</v>
      </c>
    </row>
    <row r="191" customFormat="false" ht="15" hidden="false" customHeight="false" outlineLevel="0" collapsed="false">
      <c r="A191" s="6" t="n">
        <v>184</v>
      </c>
      <c r="B191" s="14" t="n">
        <f aca="false">INDEX($S$4:$X$4,Q191)*(INDEX($S$4:$X$4,Q191+1)/INDEX($S$4:$X$4,Q191))^((LN(A191)-LN(INDEX($S$3:$X$3,Q191)))/(LN(INDEX($S$3:$X$3,Q191+1))-LN(INDEX($S$3:$X$3,Q191))))</f>
        <v>0.0116777832611125</v>
      </c>
      <c r="C191" s="33" t="n">
        <f aca="false">C190+B191</f>
        <v>7.22501927569607</v>
      </c>
      <c r="D191" s="36" t="n">
        <f aca="false">Допущения!$B$19*(1-EXP(-Допущения!$B$26*(A191+1)))</f>
        <v>0.00999999996321343</v>
      </c>
      <c r="E191" s="37" t="n">
        <f aca="false">D191-D190</f>
        <v>4.07171692196062E-012</v>
      </c>
      <c r="F191" s="37" t="n">
        <f aca="false">D191*MIN(1,B191*Допущения!$B$21)</f>
        <v>0.000291944580453849</v>
      </c>
      <c r="G191" s="17" t="n">
        <f aca="false">((B191-F191*Допущения!$B$23)*Допущения!$B$13*Допущения!$B$15+B191*Допущения!$B$14*Допущения!$B$16)/1000</f>
        <v>0.0114868515048513</v>
      </c>
      <c r="H191" s="17" t="n">
        <f aca="false">E191*Допущения!$B$27</f>
        <v>3.80705532203318E-010</v>
      </c>
      <c r="I191" s="17" t="n">
        <f aca="false">F191*Допущения!$B$22/30*Допущения!$B$28</f>
        <v>0.00141411224585255</v>
      </c>
      <c r="J191" s="17" t="n">
        <f aca="false">G191*Допущения!$B$17+(H191+I191)*Допущения!$B$18</f>
        <v>0.0064504820657047</v>
      </c>
      <c r="K191" s="19" t="n">
        <f aca="false">K190+J191</f>
        <v>4.33473301015073</v>
      </c>
      <c r="L191" s="19" t="n">
        <f aca="false">L190+G191*Допущения!$B$17</f>
        <v>3.55483932149267</v>
      </c>
      <c r="M191" s="19" t="n">
        <f aca="false">M190+H191*Допущения!$B$18</f>
        <v>0.467499998280229</v>
      </c>
      <c r="N191" s="19" t="n">
        <f aca="false">N190+I191*Допущения!$B$18</f>
        <v>0.312393690377833</v>
      </c>
      <c r="O191" s="19" t="n">
        <f aca="false">O190+G191+H191+I191</f>
        <v>8.66946602030148</v>
      </c>
      <c r="P191" s="17" t="n">
        <f aca="false">P190+F191</f>
        <v>0.128987843986603</v>
      </c>
      <c r="Q191" s="6" t="n">
        <f aca="false">MIN(MATCH(A191,$S$3:$X$3,1),5)</f>
        <v>5</v>
      </c>
    </row>
    <row r="192" customFormat="false" ht="15" hidden="false" customHeight="false" outlineLevel="0" collapsed="false">
      <c r="A192" s="6" t="n">
        <v>185</v>
      </c>
      <c r="B192" s="14" t="n">
        <f aca="false">INDEX($S$4:$X$4,Q192)*(INDEX($S$4:$X$4,Q192+1)/INDEX($S$4:$X$4,Q192))^((LN(A192)-LN(INDEX($S$3:$X$3,Q192)))/(LN(INDEX($S$3:$X$3,Q192+1))-LN(INDEX($S$3:$X$3,Q192))))</f>
        <v>0.0115996625534525</v>
      </c>
      <c r="C192" s="33" t="n">
        <f aca="false">C191+B192</f>
        <v>7.23661893824952</v>
      </c>
      <c r="D192" s="36" t="n">
        <f aca="false">Допущения!$B$19*(1-EXP(-Допущения!$B$26*(A192+1)))</f>
        <v>0.00999999996687939</v>
      </c>
      <c r="E192" s="37" t="n">
        <f aca="false">D192-D191</f>
        <v>3.66595122314184E-012</v>
      </c>
      <c r="F192" s="37" t="n">
        <f aca="false">D192*MIN(1,B192*Допущения!$B$21)</f>
        <v>0.000289991562875841</v>
      </c>
      <c r="G192" s="17" t="n">
        <f aca="false">((B192-F192*Допущения!$B$23)*Допущения!$B$13*Допущения!$B$15+B192*Допущения!$B$14*Допущения!$B$16)/1000</f>
        <v>0.0114100080707554</v>
      </c>
      <c r="H192" s="17" t="n">
        <f aca="false">E192*Допущения!$B$27</f>
        <v>3.42766439363762E-010</v>
      </c>
      <c r="I192" s="17" t="n">
        <f aca="false">F192*Допущения!$B$22/30*Допущения!$B$28</f>
        <v>0.00140465227893303</v>
      </c>
      <c r="J192" s="17" t="n">
        <f aca="false">G192*Допущения!$B$17+(H192+I192)*Допущения!$B$18</f>
        <v>0.00640733034622742</v>
      </c>
      <c r="K192" s="19" t="n">
        <f aca="false">K191+J192</f>
        <v>4.34114034049696</v>
      </c>
      <c r="L192" s="19" t="n">
        <f aca="false">L191+G192*Допущения!$B$17</f>
        <v>3.56054432552805</v>
      </c>
      <c r="M192" s="19" t="n">
        <f aca="false">M191+H192*Допущения!$B$18</f>
        <v>0.467499998451612</v>
      </c>
      <c r="N192" s="19" t="n">
        <f aca="false">N191+I192*Допущения!$B$18</f>
        <v>0.313096016517299</v>
      </c>
      <c r="O192" s="19" t="n">
        <f aca="false">O191+G192+H192+I192</f>
        <v>8.68228068099393</v>
      </c>
      <c r="P192" s="17" t="n">
        <f aca="false">P191+F192</f>
        <v>0.129277835549478</v>
      </c>
      <c r="Q192" s="6" t="n">
        <f aca="false">MIN(MATCH(A192,$S$3:$X$3,1),5)</f>
        <v>5</v>
      </c>
    </row>
    <row r="193" customFormat="false" ht="15" hidden="false" customHeight="false" outlineLevel="0" collapsed="false">
      <c r="A193" s="6" t="n">
        <v>186</v>
      </c>
      <c r="B193" s="14" t="n">
        <f aca="false">INDEX($S$4:$X$4,Q193)*(INDEX($S$4:$X$4,Q193+1)/INDEX($S$4:$X$4,Q193))^((LN(A193)-LN(INDEX($S$3:$X$3,Q193)))/(LN(INDEX($S$3:$X$3,Q193+1))-LN(INDEX($S$3:$X$3,Q193))))</f>
        <v>0.011522481374677</v>
      </c>
      <c r="C193" s="33" t="n">
        <f aca="false">C192+B193</f>
        <v>7.2481414196242</v>
      </c>
      <c r="D193" s="36" t="n">
        <f aca="false">Допущения!$B$19*(1-EXP(-Допущения!$B$26*(A193+1)))</f>
        <v>0.00999999997018001</v>
      </c>
      <c r="E193" s="37" t="n">
        <f aca="false">D193-D192</f>
        <v>3.30062366327155E-012</v>
      </c>
      <c r="F193" s="37" t="n">
        <f aca="false">D193*MIN(1,B193*Допущения!$B$21)</f>
        <v>0.000288062033507925</v>
      </c>
      <c r="G193" s="17" t="n">
        <f aca="false">((B193-F193*Допущения!$B$23)*Допущения!$B$13*Допущения!$B$15+B193*Допущения!$B$14*Допущения!$B$16)/1000</f>
        <v>0.0113340888042474</v>
      </c>
      <c r="H193" s="17" t="n">
        <f aca="false">E193*Допущения!$B$27</f>
        <v>3.0860831251589E-010</v>
      </c>
      <c r="I193" s="17" t="n">
        <f aca="false">F193*Допущения!$B$22/30*Допущения!$B$28</f>
        <v>0.00139530608348846</v>
      </c>
      <c r="J193" s="17" t="n">
        <f aca="false">G193*Допущения!$B$17+(H193+I193)*Допущения!$B$18</f>
        <v>0.0063646975981721</v>
      </c>
      <c r="K193" s="19" t="n">
        <f aca="false">K192+J193</f>
        <v>4.34750503809513</v>
      </c>
      <c r="L193" s="19" t="n">
        <f aca="false">L192+G193*Допущения!$B$17</f>
        <v>3.56621136993018</v>
      </c>
      <c r="M193" s="19" t="n">
        <f aca="false">M192+H193*Допущения!$B$18</f>
        <v>0.467499998605916</v>
      </c>
      <c r="N193" s="19" t="n">
        <f aca="false">N192+I193*Допущения!$B$18</f>
        <v>0.313793669559044</v>
      </c>
      <c r="O193" s="19" t="n">
        <f aca="false">O192+G193+H193+I193</f>
        <v>8.69501007619028</v>
      </c>
      <c r="P193" s="17" t="n">
        <f aca="false">P192+F193</f>
        <v>0.129565897582986</v>
      </c>
      <c r="Q193" s="6" t="n">
        <f aca="false">MIN(MATCH(A193,$S$3:$X$3,1),5)</f>
        <v>5</v>
      </c>
    </row>
    <row r="194" customFormat="false" ht="15" hidden="false" customHeight="false" outlineLevel="0" collapsed="false">
      <c r="A194" s="6" t="n">
        <v>187</v>
      </c>
      <c r="B194" s="14" t="n">
        <f aca="false">INDEX($S$4:$X$4,Q194)*(INDEX($S$4:$X$4,Q194+1)/INDEX($S$4:$X$4,Q194))^((LN(A194)-LN(INDEX($S$3:$X$3,Q194)))/(LN(INDEX($S$3:$X$3,Q194+1))-LN(INDEX($S$3:$X$3,Q194))))</f>
        <v>0.0114462234648057</v>
      </c>
      <c r="C194" s="33" t="n">
        <f aca="false">C193+B194</f>
        <v>7.259587643089</v>
      </c>
      <c r="D194" s="36" t="n">
        <f aca="false">Допущения!$B$19*(1-EXP(-Допущения!$B$26*(A194+1)))</f>
        <v>0.00999999997315171</v>
      </c>
      <c r="E194" s="37" t="n">
        <f aca="false">D194-D193</f>
        <v>2.97170101026811E-012</v>
      </c>
      <c r="F194" s="37" t="n">
        <f aca="false">D194*MIN(1,B194*Допущения!$B$21)</f>
        <v>0.000286155585851863</v>
      </c>
      <c r="G194" s="17" t="n">
        <f aca="false">((B194-F194*Допущения!$B$23)*Допущения!$B$13*Допущения!$B$15+B194*Допущения!$B$14*Допущения!$B$16)/1000</f>
        <v>0.0112590777111976</v>
      </c>
      <c r="H194" s="17" t="n">
        <f aca="false">E194*Допущения!$B$27</f>
        <v>2.77854044460069E-010</v>
      </c>
      <c r="I194" s="17" t="n">
        <f aca="false">F194*Допущения!$B$22/30*Допущения!$B$28</f>
        <v>0.00138607169053511</v>
      </c>
      <c r="J194" s="17" t="n">
        <f aca="false">G194*Допущения!$B$17+(H194+I194)*Допущения!$B$18</f>
        <v>0.00632257483979338</v>
      </c>
      <c r="K194" s="19" t="n">
        <f aca="false">K193+J194</f>
        <v>4.35382761293492</v>
      </c>
      <c r="L194" s="19" t="n">
        <f aca="false">L193+G194*Допущения!$B$17</f>
        <v>3.57184090878577</v>
      </c>
      <c r="M194" s="19" t="n">
        <f aca="false">M193+H194*Допущения!$B$18</f>
        <v>0.467499998744843</v>
      </c>
      <c r="N194" s="19" t="n">
        <f aca="false">N193+I194*Допущения!$B$18</f>
        <v>0.314486705404311</v>
      </c>
      <c r="O194" s="19" t="n">
        <f aca="false">O193+G194+H194+I194</f>
        <v>8.70765522586986</v>
      </c>
      <c r="P194" s="17" t="n">
        <f aca="false">P193+F194</f>
        <v>0.129852053168838</v>
      </c>
      <c r="Q194" s="6" t="n">
        <f aca="false">MIN(MATCH(A194,$S$3:$X$3,1),5)</f>
        <v>5</v>
      </c>
    </row>
    <row r="195" customFormat="false" ht="15" hidden="false" customHeight="false" outlineLevel="0" collapsed="false">
      <c r="A195" s="6" t="n">
        <v>188</v>
      </c>
      <c r="B195" s="14" t="n">
        <f aca="false">INDEX($S$4:$X$4,Q195)*(INDEX($S$4:$X$4,Q195+1)/INDEX($S$4:$X$4,Q195))^((LN(A195)-LN(INDEX($S$3:$X$3,Q195)))/(LN(INDEX($S$3:$X$3,Q195+1))-LN(INDEX($S$3:$X$3,Q195))))</f>
        <v>0.0113708729301999</v>
      </c>
      <c r="C195" s="33" t="n">
        <f aca="false">C194+B195</f>
        <v>7.2709585160192</v>
      </c>
      <c r="D195" s="36" t="n">
        <f aca="false">Допущения!$B$19*(1-EXP(-Допущения!$B$26*(A195+1)))</f>
        <v>0.00999999997582727</v>
      </c>
      <c r="E195" s="37" t="n">
        <f aca="false">D195-D194</f>
        <v>2.67555595734326E-012</v>
      </c>
      <c r="F195" s="37" t="n">
        <f aca="false">D195*MIN(1,B195*Допущения!$B$21)</f>
        <v>0.000284271822567834</v>
      </c>
      <c r="G195" s="17" t="n">
        <f aca="false">((B195-F195*Допущения!$B$23)*Допущения!$B$13*Допущения!$B$15+B195*Допущения!$B$14*Допущения!$B$16)/1000</f>
        <v>0.0111849591578282</v>
      </c>
      <c r="H195" s="17" t="n">
        <f aca="false">E195*Допущения!$B$27</f>
        <v>2.50164482011594E-010</v>
      </c>
      <c r="I195" s="17" t="n">
        <f aca="false">F195*Допущения!$B$22/30*Допущения!$B$28</f>
        <v>0.00137694717545046</v>
      </c>
      <c r="J195" s="17" t="n">
        <f aca="false">G195*Допущения!$B$17+(H195+I195)*Допущения!$B$18</f>
        <v>0.00628095329172157</v>
      </c>
      <c r="K195" s="19" t="n">
        <f aca="false">K194+J195</f>
        <v>4.36010856622664</v>
      </c>
      <c r="L195" s="19" t="n">
        <f aca="false">L194+G195*Допущения!$B$17</f>
        <v>3.57743338836469</v>
      </c>
      <c r="M195" s="19" t="n">
        <f aca="false">M194+H195*Допущения!$B$18</f>
        <v>0.467499998869925</v>
      </c>
      <c r="N195" s="19" t="n">
        <f aca="false">N194+I195*Допущения!$B$18</f>
        <v>0.315175178992036</v>
      </c>
      <c r="O195" s="19" t="n">
        <f aca="false">O194+G195+H195+I195</f>
        <v>8.72021713245331</v>
      </c>
      <c r="P195" s="17" t="n">
        <f aca="false">P194+F195</f>
        <v>0.130136324991406</v>
      </c>
      <c r="Q195" s="6" t="n">
        <f aca="false">MIN(MATCH(A195,$S$3:$X$3,1),5)</f>
        <v>5</v>
      </c>
    </row>
    <row r="196" customFormat="false" ht="15" hidden="false" customHeight="false" outlineLevel="0" collapsed="false">
      <c r="A196" s="6" t="n">
        <v>189</v>
      </c>
      <c r="B196" s="14" t="n">
        <f aca="false">INDEX($S$4:$X$4,Q196)*(INDEX($S$4:$X$4,Q196+1)/INDEX($S$4:$X$4,Q196))^((LN(A196)-LN(INDEX($S$3:$X$3,Q196)))/(LN(INDEX($S$3:$X$3,Q196+1))-LN(INDEX($S$3:$X$3,Q196))))</f>
        <v>0.0112964142334156</v>
      </c>
      <c r="C196" s="33" t="n">
        <f aca="false">C195+B196</f>
        <v>7.28225493025262</v>
      </c>
      <c r="D196" s="36" t="n">
        <f aca="false">Допущения!$B$19*(1-EXP(-Допущения!$B$26*(A196+1)))</f>
        <v>0.00999999997823619</v>
      </c>
      <c r="E196" s="37" t="n">
        <f aca="false">D196-D195</f>
        <v>2.40892548963867E-012</v>
      </c>
      <c r="F196" s="37" t="n">
        <f aca="false">D196*MIN(1,B196*Допущения!$B$21)</f>
        <v>0.000282410355220758</v>
      </c>
      <c r="G196" s="17" t="n">
        <f aca="false">((B196-F196*Допущения!$B$23)*Допущения!$B$13*Допущения!$B$15+B196*Допущения!$B$14*Допущения!$B$16)/1000</f>
        <v>0.0111117178607324</v>
      </c>
      <c r="H196" s="17" t="n">
        <f aca="false">E196*Допущения!$B$27</f>
        <v>2.25234533281216E-010</v>
      </c>
      <c r="I196" s="17" t="n">
        <f aca="false">F196*Допущения!$B$22/30*Допущения!$B$28</f>
        <v>0.00136793065674453</v>
      </c>
      <c r="J196" s="17" t="n">
        <f aca="false">G196*Допущения!$B$17+(H196+I196)*Допущения!$B$18</f>
        <v>0.00623982437135576</v>
      </c>
      <c r="K196" s="19" t="n">
        <f aca="false">K195+J196</f>
        <v>4.366348390598</v>
      </c>
      <c r="L196" s="19" t="n">
        <f aca="false">L195+G196*Допущения!$B$17</f>
        <v>3.58298924729505</v>
      </c>
      <c r="M196" s="19" t="n">
        <f aca="false">M195+H196*Допущения!$B$18</f>
        <v>0.467499998982542</v>
      </c>
      <c r="N196" s="19" t="n">
        <f aca="false">N195+I196*Допущения!$B$18</f>
        <v>0.315859144320409</v>
      </c>
      <c r="O196" s="19" t="n">
        <f aca="false">O195+G196+H196+I196</f>
        <v>8.73269678119602</v>
      </c>
      <c r="P196" s="17" t="n">
        <f aca="false">P195+F196</f>
        <v>0.130418735346627</v>
      </c>
      <c r="Q196" s="6" t="n">
        <f aca="false">MIN(MATCH(A196,$S$3:$X$3,1),5)</f>
        <v>5</v>
      </c>
    </row>
    <row r="197" customFormat="false" ht="15" hidden="false" customHeight="false" outlineLevel="0" collapsed="false">
      <c r="A197" s="6" t="n">
        <v>190</v>
      </c>
      <c r="B197" s="14" t="n">
        <f aca="false">INDEX($S$4:$X$4,Q197)*(INDEX($S$4:$X$4,Q197+1)/INDEX($S$4:$X$4,Q197))^((LN(A197)-LN(INDEX($S$3:$X$3,Q197)))/(LN(INDEX($S$3:$X$3,Q197+1))-LN(INDEX($S$3:$X$3,Q197))))</f>
        <v>0.0112228321833895</v>
      </c>
      <c r="C197" s="33" t="n">
        <f aca="false">C196+B197</f>
        <v>7.29347776243601</v>
      </c>
      <c r="D197" s="36" t="n">
        <f aca="false">Допущения!$B$19*(1-EXP(-Допущения!$B$26*(A197+1)))</f>
        <v>0.00999999998040506</v>
      </c>
      <c r="E197" s="37" t="n">
        <f aca="false">D197-D196</f>
        <v>2.16886578141562E-012</v>
      </c>
      <c r="F197" s="37" t="n">
        <f aca="false">D197*MIN(1,B197*Допущения!$B$21)</f>
        <v>0.00028057080403496</v>
      </c>
      <c r="G197" s="17" t="n">
        <f aca="false">((B197-F197*Допущения!$B$23)*Допущения!$B$13*Допущения!$B$15+B197*Допущения!$B$14*Допущения!$B$16)/1000</f>
        <v>0.0110393388772207</v>
      </c>
      <c r="H197" s="17" t="n">
        <f aca="false">E197*Допущения!$B$27</f>
        <v>2.0278895056236E-010</v>
      </c>
      <c r="I197" s="17" t="n">
        <f aca="false">F197*Допущения!$B$22/30*Допущения!$B$28</f>
        <v>0.00135902029487152</v>
      </c>
      <c r="J197" s="17" t="n">
        <f aca="false">G197*Допущения!$B$17+(H197+I197)*Допущения!$B$18</f>
        <v>0.0061991796874406</v>
      </c>
      <c r="K197" s="19" t="n">
        <f aca="false">K196+J197</f>
        <v>4.37254757028544</v>
      </c>
      <c r="L197" s="19" t="n">
        <f aca="false">L196+G197*Допущения!$B$17</f>
        <v>3.58850891673366</v>
      </c>
      <c r="M197" s="19" t="n">
        <f aca="false">M196+H197*Допущения!$B$18</f>
        <v>0.467499999083937</v>
      </c>
      <c r="N197" s="19" t="n">
        <f aca="false">N196+I197*Допущения!$B$18</f>
        <v>0.316538654467844</v>
      </c>
      <c r="O197" s="19" t="n">
        <f aca="false">O196+G197+H197+I197</f>
        <v>8.7450951405709</v>
      </c>
      <c r="P197" s="17" t="n">
        <f aca="false">P196+F197</f>
        <v>0.130699306150662</v>
      </c>
      <c r="Q197" s="6" t="n">
        <f aca="false">MIN(MATCH(A197,$S$3:$X$3,1),5)</f>
        <v>5</v>
      </c>
    </row>
    <row r="198" customFormat="false" ht="15" hidden="false" customHeight="false" outlineLevel="0" collapsed="false">
      <c r="A198" s="6" t="n">
        <v>191</v>
      </c>
      <c r="B198" s="14" t="n">
        <f aca="false">INDEX($S$4:$X$4,Q198)*(INDEX($S$4:$X$4,Q198+1)/INDEX($S$4:$X$4,Q198))^((LN(A198)-LN(INDEX($S$3:$X$3,Q198)))/(LN(INDEX($S$3:$X$3,Q198+1))-LN(INDEX($S$3:$X$3,Q198))))</f>
        <v>0.0111501119259445</v>
      </c>
      <c r="C198" s="33" t="n">
        <f aca="false">C197+B198</f>
        <v>7.30462787436195</v>
      </c>
      <c r="D198" s="36" t="n">
        <f aca="false">Допущения!$B$19*(1-EXP(-Допущения!$B$26*(A198+1)))</f>
        <v>0.00999999998235778</v>
      </c>
      <c r="E198" s="37" t="n">
        <f aca="false">D198-D197</f>
        <v>1.95272617520281E-012</v>
      </c>
      <c r="F198" s="37" t="n">
        <f aca="false">D198*MIN(1,B198*Допущения!$B$21)</f>
        <v>0.000278752797656831</v>
      </c>
      <c r="G198" s="17" t="n">
        <f aca="false">((B198-F198*Допущения!$B$23)*Допущения!$B$13*Допущения!$B$15+B198*Допущения!$B$14*Допущения!$B$16)/1000</f>
        <v>0.0109678075959819</v>
      </c>
      <c r="H198" s="17" t="n">
        <f aca="false">E198*Допущения!$B$27</f>
        <v>1.82579897381463E-010</v>
      </c>
      <c r="I198" s="17" t="n">
        <f aca="false">F198*Допущения!$B$22/30*Допущения!$B$28</f>
        <v>0.00135021429108013</v>
      </c>
      <c r="J198" s="17" t="n">
        <f aca="false">G198*Допущения!$B$17+(H198+I198)*Допущения!$B$18</f>
        <v>0.00615901103482094</v>
      </c>
      <c r="K198" s="19" t="n">
        <f aca="false">K197+J198</f>
        <v>4.37870658132026</v>
      </c>
      <c r="L198" s="19" t="n">
        <f aca="false">L197+G198*Допущения!$B$17</f>
        <v>3.59399282053166</v>
      </c>
      <c r="M198" s="19" t="n">
        <f aca="false">M197+H198*Допущения!$B$18</f>
        <v>0.467499999175227</v>
      </c>
      <c r="N198" s="19" t="n">
        <f aca="false">N197+I198*Допущения!$B$18</f>
        <v>0.317213761613385</v>
      </c>
      <c r="O198" s="19" t="n">
        <f aca="false">O197+G198+H198+I198</f>
        <v>8.75741316264054</v>
      </c>
      <c r="P198" s="17" t="n">
        <f aca="false">P197+F198</f>
        <v>0.130978058948319</v>
      </c>
      <c r="Q198" s="6" t="n">
        <f aca="false">MIN(MATCH(A198,$S$3:$X$3,1),5)</f>
        <v>5</v>
      </c>
    </row>
    <row r="199" customFormat="false" ht="15" hidden="false" customHeight="false" outlineLevel="0" collapsed="false">
      <c r="A199" s="6" t="n">
        <v>192</v>
      </c>
      <c r="B199" s="14" t="n">
        <f aca="false">INDEX($S$4:$X$4,Q199)*(INDEX($S$4:$X$4,Q199+1)/INDEX($S$4:$X$4,Q199))^((LN(A199)-LN(INDEX($S$3:$X$3,Q199)))/(LN(INDEX($S$3:$X$3,Q199+1))-LN(INDEX($S$3:$X$3,Q199))))</f>
        <v>0.0110782389346046</v>
      </c>
      <c r="C199" s="33" t="n">
        <f aca="false">C198+B199</f>
        <v>7.31570611329656</v>
      </c>
      <c r="D199" s="36" t="n">
        <f aca="false">Допущения!$B$19*(1-EXP(-Допущения!$B$26*(A199+1)))</f>
        <v>0.00999999998411591</v>
      </c>
      <c r="E199" s="37" t="n">
        <f aca="false">D199-D198</f>
        <v>1.75812836511469E-012</v>
      </c>
      <c r="F199" s="37" t="n">
        <f aca="false">D199*MIN(1,B199*Допущения!$B$21)</f>
        <v>0.000276955972925196</v>
      </c>
      <c r="G199" s="17" t="n">
        <f aca="false">((B199-F199*Допущения!$B$23)*Допущения!$B$13*Допущения!$B$15+B199*Допущения!$B$14*Допущения!$B$16)/1000</f>
        <v>0.0108971097280476</v>
      </c>
      <c r="H199" s="17" t="n">
        <f aca="false">E199*Допущения!$B$27</f>
        <v>1.64385002138223E-010</v>
      </c>
      <c r="I199" s="17" t="n">
        <f aca="false">F199*Допущения!$B$22/30*Допущения!$B$28</f>
        <v>0.00134151088630137</v>
      </c>
      <c r="J199" s="17" t="n">
        <f aca="false">G199*Допущения!$B$17+(H199+I199)*Допущения!$B$18</f>
        <v>0.00611931038936698</v>
      </c>
      <c r="K199" s="19" t="n">
        <f aca="false">K198+J199</f>
        <v>4.38482589170963</v>
      </c>
      <c r="L199" s="19" t="n">
        <f aca="false">L198+G199*Допущения!$B$17</f>
        <v>3.59944137539568</v>
      </c>
      <c r="M199" s="19" t="n">
        <f aca="false">M198+H199*Допущения!$B$18</f>
        <v>0.467499999257419</v>
      </c>
      <c r="N199" s="19" t="n">
        <f aca="false">N198+I199*Допущения!$B$18</f>
        <v>0.317884517056535</v>
      </c>
      <c r="O199" s="19" t="n">
        <f aca="false">O198+G199+H199+I199</f>
        <v>8.76965178341927</v>
      </c>
      <c r="P199" s="17" t="n">
        <f aca="false">P198+F199</f>
        <v>0.131255014921244</v>
      </c>
      <c r="Q199" s="6" t="n">
        <f aca="false">MIN(MATCH(A199,$S$3:$X$3,1),5)</f>
        <v>5</v>
      </c>
    </row>
    <row r="200" customFormat="false" ht="15" hidden="false" customHeight="false" outlineLevel="0" collapsed="false">
      <c r="A200" s="6" t="n">
        <v>193</v>
      </c>
      <c r="B200" s="14" t="n">
        <f aca="false">INDEX($S$4:$X$4,Q200)*(INDEX($S$4:$X$4,Q200+1)/INDEX($S$4:$X$4,Q200))^((LN(A200)-LN(INDEX($S$3:$X$3,Q200)))/(LN(INDEX($S$3:$X$3,Q200+1))-LN(INDEX($S$3:$X$3,Q200))))</f>
        <v>0.0110071990017057</v>
      </c>
      <c r="C200" s="33" t="n">
        <f aca="false">C199+B200</f>
        <v>7.32671331229826</v>
      </c>
      <c r="D200" s="36" t="n">
        <f aca="false">Допущения!$B$19*(1-EXP(-Допущения!$B$26*(A200+1)))</f>
        <v>0.00999999998569883</v>
      </c>
      <c r="E200" s="37" t="n">
        <f aca="false">D200-D199</f>
        <v>1.5829230287645E-012</v>
      </c>
      <c r="F200" s="37" t="n">
        <f aca="false">D200*MIN(1,B200*Допущения!$B$21)</f>
        <v>0.000275179974649104</v>
      </c>
      <c r="G200" s="17" t="n">
        <f aca="false">((B200-F200*Допущения!$B$23)*Допущения!$B$13*Допущения!$B$15+B200*Допущения!$B$14*Допущения!$B$16)/1000</f>
        <v>0.0108272312980491</v>
      </c>
      <c r="H200" s="17" t="n">
        <f aca="false">E200*Допущения!$B$27</f>
        <v>1.48003303189481E-010</v>
      </c>
      <c r="I200" s="17" t="n">
        <f aca="false">F200*Допущения!$B$22/30*Допущения!$B$28</f>
        <v>0.00133290836007215</v>
      </c>
      <c r="J200" s="17" t="n">
        <f aca="false">G200*Допущения!$B$17+(H200+I200)*Допущения!$B$18</f>
        <v>0.00608006990306227</v>
      </c>
      <c r="K200" s="19" t="n">
        <f aca="false">K199+J200</f>
        <v>4.39090596161269</v>
      </c>
      <c r="L200" s="19" t="n">
        <f aca="false">L199+G200*Допущения!$B$17</f>
        <v>3.6048549910447</v>
      </c>
      <c r="M200" s="19" t="n">
        <f aca="false">M199+H200*Допущения!$B$18</f>
        <v>0.467499999331421</v>
      </c>
      <c r="N200" s="19" t="n">
        <f aca="false">N199+I200*Допущения!$B$18</f>
        <v>0.318550971236571</v>
      </c>
      <c r="O200" s="19" t="n">
        <f aca="false">O199+G200+H200+I200</f>
        <v>8.7818119232254</v>
      </c>
      <c r="P200" s="17" t="n">
        <f aca="false">P199+F200</f>
        <v>0.131530194895893</v>
      </c>
      <c r="Q200" s="6" t="n">
        <f aca="false">MIN(MATCH(A200,$S$3:$X$3,1),5)</f>
        <v>5</v>
      </c>
    </row>
    <row r="201" customFormat="false" ht="15" hidden="false" customHeight="false" outlineLevel="0" collapsed="false">
      <c r="A201" s="6" t="n">
        <v>194</v>
      </c>
      <c r="B201" s="14" t="n">
        <f aca="false">INDEX($S$4:$X$4,Q201)*(INDEX($S$4:$X$4,Q201+1)/INDEX($S$4:$X$4,Q201))^((LN(A201)-LN(INDEX($S$3:$X$3,Q201)))/(LN(INDEX($S$3:$X$3,Q201+1))-LN(INDEX($S$3:$X$3,Q201))))</f>
        <v>0.0109369782297925</v>
      </c>
      <c r="C201" s="33" t="n">
        <f aca="false">C200+B201</f>
        <v>7.33765029052806</v>
      </c>
      <c r="D201" s="36" t="n">
        <f aca="false">Допущения!$B$19*(1-EXP(-Допущения!$B$26*(A201+1)))</f>
        <v>0.00999999998712401</v>
      </c>
      <c r="E201" s="37" t="n">
        <f aca="false">D201-D200</f>
        <v>1.42517768420003E-012</v>
      </c>
      <c r="F201" s="37" t="n">
        <f aca="false">D201*MIN(1,B201*Допущения!$B$21)</f>
        <v>0.000273424455392751</v>
      </c>
      <c r="G201" s="17" t="n">
        <f aca="false">((B201-F201*Допущения!$B$23)*Допущения!$B$13*Допущения!$B$15+B201*Допущения!$B$14*Допущения!$B$16)/1000</f>
        <v>0.0107581586357544</v>
      </c>
      <c r="H201" s="17" t="n">
        <f aca="false">E201*Допущения!$B$27</f>
        <v>1.33254113472703E-010</v>
      </c>
      <c r="I201" s="17" t="n">
        <f aca="false">F201*Допущения!$B$22/30*Допущения!$B$28</f>
        <v>0.00132440502949352</v>
      </c>
      <c r="J201" s="17" t="n">
        <f aca="false">G201*Допущения!$B$17+(H201+I201)*Допущения!$B$18</f>
        <v>0.006041281899251</v>
      </c>
      <c r="K201" s="19" t="n">
        <f aca="false">K200+J201</f>
        <v>4.39694724351194</v>
      </c>
      <c r="L201" s="19" t="n">
        <f aca="false">L200+G201*Допущения!$B$17</f>
        <v>3.61023407036258</v>
      </c>
      <c r="M201" s="19" t="n">
        <f aca="false">M200+H201*Допущения!$B$18</f>
        <v>0.467499999398048</v>
      </c>
      <c r="N201" s="19" t="n">
        <f aca="false">N200+I201*Допущения!$B$18</f>
        <v>0.319213173751318</v>
      </c>
      <c r="O201" s="19" t="n">
        <f aca="false">O200+G201+H201+I201</f>
        <v>8.7938944870239</v>
      </c>
      <c r="P201" s="17" t="n">
        <f aca="false">P200+F201</f>
        <v>0.131803619351286</v>
      </c>
      <c r="Q201" s="6" t="n">
        <f aca="false">MIN(MATCH(A201,$S$3:$X$3,1),5)</f>
        <v>5</v>
      </c>
    </row>
    <row r="202" customFormat="false" ht="15" hidden="false" customHeight="false" outlineLevel="0" collapsed="false">
      <c r="A202" s="6" t="n">
        <v>195</v>
      </c>
      <c r="B202" s="14" t="n">
        <f aca="false">INDEX($S$4:$X$4,Q202)*(INDEX($S$4:$X$4,Q202+1)/INDEX($S$4:$X$4,Q202))^((LN(A202)-LN(INDEX($S$3:$X$3,Q202)))/(LN(INDEX($S$3:$X$3,Q202+1))-LN(INDEX($S$3:$X$3,Q202))))</f>
        <v>0.01086756302329</v>
      </c>
      <c r="C202" s="33" t="n">
        <f aca="false">C201+B202</f>
        <v>7.34851785355135</v>
      </c>
      <c r="D202" s="36" t="n">
        <f aca="false">Допущения!$B$19*(1-EXP(-Допущения!$B$26*(A202+1)))</f>
        <v>0.00999999998840716</v>
      </c>
      <c r="E202" s="37" t="n">
        <f aca="false">D202-D201</f>
        <v>1.28315240377486E-012</v>
      </c>
      <c r="F202" s="37" t="n">
        <f aca="false">D202*MIN(1,B202*Допущения!$B$21)</f>
        <v>0.000271689075267285</v>
      </c>
      <c r="G202" s="17" t="n">
        <f aca="false">((B202-F202*Допущения!$B$23)*Допущения!$B$13*Допущения!$B$15+B202*Допущения!$B$14*Допущения!$B$16)/1000</f>
        <v>0.0106898783678762</v>
      </c>
      <c r="H202" s="17" t="n">
        <f aca="false">E202*Допущения!$B$27</f>
        <v>1.19974749752949E-010</v>
      </c>
      <c r="I202" s="17" t="n">
        <f aca="false">F202*Допущения!$B$22/30*Допущения!$B$28</f>
        <v>0.00131599924822224</v>
      </c>
      <c r="J202" s="17" t="n">
        <f aca="false">G202*Допущения!$B$17+(H202+I202)*Допущения!$B$18</f>
        <v>0.0060029388680366</v>
      </c>
      <c r="K202" s="19" t="n">
        <f aca="false">K201+J202</f>
        <v>4.40295018237998</v>
      </c>
      <c r="L202" s="19" t="n">
        <f aca="false">L201+G202*Допущения!$B$17</f>
        <v>3.61557900954652</v>
      </c>
      <c r="M202" s="19" t="n">
        <f aca="false">M201+H202*Допущения!$B$18</f>
        <v>0.467499999458035</v>
      </c>
      <c r="N202" s="19" t="n">
        <f aca="false">N201+I202*Допущения!$B$18</f>
        <v>0.319871173375429</v>
      </c>
      <c r="O202" s="19" t="n">
        <f aca="false">O201+G202+H202+I202</f>
        <v>8.80590036475997</v>
      </c>
      <c r="P202" s="17" t="n">
        <f aca="false">P201+F202</f>
        <v>0.132075308426553</v>
      </c>
      <c r="Q202" s="6" t="n">
        <f aca="false">MIN(MATCH(A202,$S$3:$X$3,1),5)</f>
        <v>5</v>
      </c>
    </row>
    <row r="203" customFormat="false" ht="15" hidden="false" customHeight="false" outlineLevel="0" collapsed="false">
      <c r="A203" s="6" t="n">
        <v>196</v>
      </c>
      <c r="B203" s="14" t="n">
        <f aca="false">INDEX($S$4:$X$4,Q203)*(INDEX($S$4:$X$4,Q203+1)/INDEX($S$4:$X$4,Q203))^((LN(A203)-LN(INDEX($S$3:$X$3,Q203)))/(LN(INDEX($S$3:$X$3,Q203+1))-LN(INDEX($S$3:$X$3,Q203))))</f>
        <v>0.0107989400804407</v>
      </c>
      <c r="C203" s="33" t="n">
        <f aca="false">C202+B203</f>
        <v>7.35931679363179</v>
      </c>
      <c r="D203" s="36" t="n">
        <f aca="false">Допущения!$B$19*(1-EXP(-Допущения!$B$26*(A203+1)))</f>
        <v>0.00999999998956244</v>
      </c>
      <c r="E203" s="37" t="n">
        <f aca="false">D203-D202</f>
        <v>1.1552789974667E-012</v>
      </c>
      <c r="F203" s="37" t="n">
        <f aca="false">D203*MIN(1,B203*Допущения!$B$21)</f>
        <v>0.000269973501729231</v>
      </c>
      <c r="G203" s="17" t="n">
        <f aca="false">((B203-F203*Допущения!$B$23)*Допущения!$B$13*Допущения!$B$15+B203*Допущения!$B$14*Допущения!$B$16)/1000</f>
        <v>0.0106223774101407</v>
      </c>
      <c r="H203" s="17" t="n">
        <f aca="false">E203*Допущения!$B$27</f>
        <v>1.08018586263137E-010</v>
      </c>
      <c r="I203" s="17" t="n">
        <f aca="false">F203*Допущения!$B$22/30*Допущения!$B$28</f>
        <v>0.00130768940549438</v>
      </c>
      <c r="J203" s="17" t="n">
        <f aca="false">G203*Допущения!$B$17+(H203+I203)*Допущения!$B$18</f>
        <v>0.00596503346182684</v>
      </c>
      <c r="K203" s="19" t="n">
        <f aca="false">K202+J203</f>
        <v>4.4089152158418</v>
      </c>
      <c r="L203" s="19" t="n">
        <f aca="false">L202+G203*Допущения!$B$17</f>
        <v>3.62089019825159</v>
      </c>
      <c r="M203" s="19" t="n">
        <f aca="false">M202+H203*Допущения!$B$18</f>
        <v>0.467499999512045</v>
      </c>
      <c r="N203" s="19" t="n">
        <f aca="false">N202+I203*Допущения!$B$18</f>
        <v>0.320525018078176</v>
      </c>
      <c r="O203" s="19" t="n">
        <f aca="false">O202+G203+H203+I203</f>
        <v>8.81783043168363</v>
      </c>
      <c r="P203" s="17" t="n">
        <f aca="false">P202+F203</f>
        <v>0.132345281928282</v>
      </c>
      <c r="Q203" s="6" t="n">
        <f aca="false">MIN(MATCH(A203,$S$3:$X$3,1),5)</f>
        <v>5</v>
      </c>
    </row>
    <row r="204" customFormat="false" ht="15" hidden="false" customHeight="false" outlineLevel="0" collapsed="false">
      <c r="A204" s="6" t="n">
        <v>197</v>
      </c>
      <c r="B204" s="14" t="n">
        <f aca="false">INDEX($S$4:$X$4,Q204)*(INDEX($S$4:$X$4,Q204+1)/INDEX($S$4:$X$4,Q204))^((LN(A204)-LN(INDEX($S$3:$X$3,Q204)))/(LN(INDEX($S$3:$X$3,Q204+1))-LN(INDEX($S$3:$X$3,Q204))))</f>
        <v>0.0107310963854962</v>
      </c>
      <c r="C204" s="33" t="n">
        <f aca="false">C203+B204</f>
        <v>7.37004789001728</v>
      </c>
      <c r="D204" s="36" t="n">
        <f aca="false">Допущения!$B$19*(1-EXP(-Допущения!$B$26*(A204+1)))</f>
        <v>0.0099999999906026</v>
      </c>
      <c r="E204" s="37" t="n">
        <f aca="false">D204-D203</f>
        <v>1.04015233926003E-012</v>
      </c>
      <c r="F204" s="37" t="n">
        <f aca="false">D204*MIN(1,B204*Допущения!$B$21)</f>
        <v>0.000268277409385294</v>
      </c>
      <c r="G204" s="17" t="n">
        <f aca="false">((B204-F204*Допущения!$B$23)*Допущения!$B$13*Допущения!$B$15+B204*Допущения!$B$14*Допущения!$B$16)/1000</f>
        <v>0.010555642959607</v>
      </c>
      <c r="H204" s="17" t="n">
        <f aca="false">E204*Допущения!$B$27</f>
        <v>9.72542437208124E-011</v>
      </c>
      <c r="I204" s="17" t="n">
        <f aca="false">F204*Допущения!$B$22/30*Допущения!$B$28</f>
        <v>0.00129947392517983</v>
      </c>
      <c r="J204" s="17" t="n">
        <f aca="false">G204*Допущения!$B$17+(H204+I204)*Допущения!$B$18</f>
        <v>0.00592755849102051</v>
      </c>
      <c r="K204" s="19" t="n">
        <f aca="false">K203+J204</f>
        <v>4.41484277433282</v>
      </c>
      <c r="L204" s="19" t="n">
        <f aca="false">L203+G204*Допущения!$B$17</f>
        <v>3.62616801973139</v>
      </c>
      <c r="M204" s="19" t="n">
        <f aca="false">M203+H204*Допущения!$B$18</f>
        <v>0.467499999560672</v>
      </c>
      <c r="N204" s="19" t="n">
        <f aca="false">N203+I204*Допущения!$B$18</f>
        <v>0.321174755040766</v>
      </c>
      <c r="O204" s="19" t="n">
        <f aca="false">O203+G204+H204+I204</f>
        <v>8.82968554866567</v>
      </c>
      <c r="P204" s="17" t="n">
        <f aca="false">P203+F204</f>
        <v>0.132613559337667</v>
      </c>
      <c r="Q204" s="6" t="n">
        <f aca="false">MIN(MATCH(A204,$S$3:$X$3,1),5)</f>
        <v>5</v>
      </c>
    </row>
    <row r="205" customFormat="false" ht="15" hidden="false" customHeight="false" outlineLevel="0" collapsed="false">
      <c r="A205" s="6" t="n">
        <v>198</v>
      </c>
      <c r="B205" s="14" t="n">
        <f aca="false">INDEX($S$4:$X$4,Q205)*(INDEX($S$4:$X$4,Q205+1)/INDEX($S$4:$X$4,Q205))^((LN(A205)-LN(INDEX($S$3:$X$3,Q205)))/(LN(INDEX($S$3:$X$3,Q205+1))-LN(INDEX($S$3:$X$3,Q205))))</f>
        <v>0.010664019201155</v>
      </c>
      <c r="C205" s="33" t="n">
        <f aca="false">C204+B205</f>
        <v>7.38071190921844</v>
      </c>
      <c r="D205" s="36" t="n">
        <f aca="false">Допущения!$B$19*(1-EXP(-Допущения!$B$26*(A205+1)))</f>
        <v>0.00999999999153909</v>
      </c>
      <c r="E205" s="37" t="n">
        <f aca="false">D205-D204</f>
        <v>9.36493937953031E-013</v>
      </c>
      <c r="F205" s="37" t="n">
        <f aca="false">D205*MIN(1,B205*Допущения!$B$21)</f>
        <v>0.000266600479803306</v>
      </c>
      <c r="G205" s="17" t="n">
        <f aca="false">((B205-F205*Допущения!$B$23)*Допущения!$B$13*Допущения!$B$15+B205*Допущения!$B$14*Допущения!$B$16)/1000</f>
        <v>0.0104896624872283</v>
      </c>
      <c r="H205" s="17" t="n">
        <f aca="false">E205*Допущения!$B$27</f>
        <v>8.75621831986084E-011</v>
      </c>
      <c r="I205" s="17" t="n">
        <f aca="false">F205*Допущения!$B$22/30*Допущения!$B$28</f>
        <v>0.00129135126486658</v>
      </c>
      <c r="J205" s="17" t="n">
        <f aca="false">G205*Допущения!$B$17+(H205+I205)*Допущения!$B$18</f>
        <v>0.00589050691982852</v>
      </c>
      <c r="K205" s="19" t="n">
        <f aca="false">K204+J205</f>
        <v>4.42073328125265</v>
      </c>
      <c r="L205" s="19" t="n">
        <f aca="false">L204+G205*Допущения!$B$17</f>
        <v>3.63141285097501</v>
      </c>
      <c r="M205" s="19" t="n">
        <f aca="false">M204+H205*Допущения!$B$18</f>
        <v>0.467499999604453</v>
      </c>
      <c r="N205" s="19" t="n">
        <f aca="false">N204+I205*Допущения!$B$18</f>
        <v>0.3218204306732</v>
      </c>
      <c r="O205" s="19" t="n">
        <f aca="false">O204+G205+H205+I205</f>
        <v>8.84146656250532</v>
      </c>
      <c r="P205" s="17" t="n">
        <f aca="false">P204+F205</f>
        <v>0.132880159817471</v>
      </c>
      <c r="Q205" s="6" t="n">
        <f aca="false">MIN(MATCH(A205,$S$3:$X$3,1),5)</f>
        <v>5</v>
      </c>
    </row>
    <row r="206" customFormat="false" ht="15" hidden="false" customHeight="false" outlineLevel="0" collapsed="false">
      <c r="A206" s="6" t="n">
        <v>199</v>
      </c>
      <c r="B206" s="14" t="n">
        <f aca="false">INDEX($S$4:$X$4,Q206)*(INDEX($S$4:$X$4,Q206+1)/INDEX($S$4:$X$4,Q206))^((LN(A206)-LN(INDEX($S$3:$X$3,Q206)))/(LN(INDEX($S$3:$X$3,Q206+1))-LN(INDEX($S$3:$X$3,Q206))))</f>
        <v>0.0105976960612372</v>
      </c>
      <c r="C206" s="33" t="n">
        <f aca="false">C205+B206</f>
        <v>7.39130960527968</v>
      </c>
      <c r="D206" s="36" t="n">
        <f aca="false">Допущения!$B$19*(1-EXP(-Допущения!$B$26*(A206+1)))</f>
        <v>0.00999999999238226</v>
      </c>
      <c r="E206" s="37" t="n">
        <f aca="false">D206-D205</f>
        <v>8.43169284392431E-013</v>
      </c>
      <c r="F206" s="37" t="n">
        <f aca="false">D206*MIN(1,B206*Допущения!$B$21)</f>
        <v>0.000264942401329103</v>
      </c>
      <c r="G206" s="17" t="n">
        <f aca="false">((B206-F206*Допущения!$B$23)*Допущения!$B$13*Допущения!$B$15+B206*Допущения!$B$14*Допущения!$B$16)/1000</f>
        <v>0.0104244237306469</v>
      </c>
      <c r="H206" s="17" t="n">
        <f aca="false">E206*Допущения!$B$27</f>
        <v>7.88363280906923E-011</v>
      </c>
      <c r="I206" s="17" t="n">
        <f aca="false">F206*Допущения!$B$22/30*Допущения!$B$28</f>
        <v>0.0012833199149737</v>
      </c>
      <c r="J206" s="17" t="n">
        <f aca="false">G206*Допущения!$B$17+(H206+I206)*Допущения!$B$18</f>
        <v>0.00585387186222844</v>
      </c>
      <c r="K206" s="19" t="n">
        <f aca="false">K205+J206</f>
        <v>4.42658715311488</v>
      </c>
      <c r="L206" s="19" t="n">
        <f aca="false">L205+G206*Допущения!$B$17</f>
        <v>3.63662506284033</v>
      </c>
      <c r="M206" s="19" t="n">
        <f aca="false">M205+H206*Допущения!$B$18</f>
        <v>0.467499999643871</v>
      </c>
      <c r="N206" s="19" t="n">
        <f aca="false">N205+I206*Допущения!$B$18</f>
        <v>0.322462090630686</v>
      </c>
      <c r="O206" s="19" t="n">
        <f aca="false">O205+G206+H206+I206</f>
        <v>8.85317430622978</v>
      </c>
      <c r="P206" s="17" t="n">
        <f aca="false">P205+F206</f>
        <v>0.1331451022188</v>
      </c>
      <c r="Q206" s="6" t="n">
        <f aca="false">MIN(MATCH(A206,$S$3:$X$3,1),5)</f>
        <v>5</v>
      </c>
    </row>
    <row r="207" customFormat="false" ht="15" hidden="false" customHeight="false" outlineLevel="0" collapsed="false">
      <c r="A207" s="6" t="n">
        <v>200</v>
      </c>
      <c r="B207" s="14" t="n">
        <f aca="false">INDEX($S$4:$X$4,Q207)*(INDEX($S$4:$X$4,Q207+1)/INDEX($S$4:$X$4,Q207))^((LN(A207)-LN(INDEX($S$3:$X$3,Q207)))/(LN(INDEX($S$3:$X$3,Q207+1))-LN(INDEX($S$3:$X$3,Q207))))</f>
        <v>0.0105321147635876</v>
      </c>
      <c r="C207" s="33" t="n">
        <f aca="false">C206+B207</f>
        <v>7.40184172004326</v>
      </c>
      <c r="D207" s="36" t="n">
        <f aca="false">Допущения!$B$19*(1-EXP(-Допущения!$B$26*(A207+1)))</f>
        <v>0.0099999999931414</v>
      </c>
      <c r="E207" s="37" t="n">
        <f aca="false">D207-D206</f>
        <v>7.59142748663066E-013</v>
      </c>
      <c r="F207" s="37" t="n">
        <f aca="false">D207*MIN(1,B207*Допущения!$B$21)</f>
        <v>0.000263302868909102</v>
      </c>
      <c r="G207" s="17" t="n">
        <f aca="false">((B207-F207*Допущения!$B$23)*Допущения!$B$13*Допущения!$B$15+B207*Допущения!$B$14*Допущения!$B$16)/1000</f>
        <v>0.0103599146872127</v>
      </c>
      <c r="H207" s="17" t="n">
        <f aca="false">E207*Допущения!$B$27</f>
        <v>7.09798469999967E-011</v>
      </c>
      <c r="I207" s="17" t="n">
        <f aca="false">F207*Допущения!$B$22/30*Допущения!$B$28</f>
        <v>0.00127537839789196</v>
      </c>
      <c r="J207" s="17" t="n">
        <f aca="false">G207*Допущения!$B$17+(H207+I207)*Допущения!$B$18</f>
        <v>0.00581764657804227</v>
      </c>
      <c r="K207" s="19" t="n">
        <f aca="false">K206+J207</f>
        <v>4.43240479969292</v>
      </c>
      <c r="L207" s="19" t="n">
        <f aca="false">L206+G207*Допущения!$B$17</f>
        <v>3.64180502018394</v>
      </c>
      <c r="M207" s="19" t="n">
        <f aca="false">M206+H207*Допущения!$B$18</f>
        <v>0.467499999679361</v>
      </c>
      <c r="N207" s="19" t="n">
        <f aca="false">N206+I207*Допущения!$B$18</f>
        <v>0.323099779829632</v>
      </c>
      <c r="O207" s="19" t="n">
        <f aca="false">O206+G207+H207+I207</f>
        <v>8.86480959938586</v>
      </c>
      <c r="P207" s="17" t="n">
        <f aca="false">P206+F207</f>
        <v>0.133408405087709</v>
      </c>
      <c r="Q207" s="6" t="n">
        <f aca="false">MIN(MATCH(A207,$S$3:$X$3,1),5)</f>
        <v>5</v>
      </c>
    </row>
    <row r="208" customFormat="false" ht="15" hidden="false" customHeight="false" outlineLevel="0" collapsed="false">
      <c r="A208" s="6" t="n">
        <v>201</v>
      </c>
      <c r="B208" s="14" t="n">
        <f aca="false">INDEX($S$4:$X$4,Q208)*(INDEX($S$4:$X$4,Q208+1)/INDEX($S$4:$X$4,Q208))^((LN(A208)-LN(INDEX($S$3:$X$3,Q208)))/(LN(INDEX($S$3:$X$3,Q208+1))-LN(INDEX($S$3:$X$3,Q208))))</f>
        <v>0.010467263363199</v>
      </c>
      <c r="C208" s="33" t="n">
        <f aca="false">C207+B208</f>
        <v>7.41230898340646</v>
      </c>
      <c r="D208" s="36" t="n">
        <f aca="false">Допущения!$B$19*(1-EXP(-Допущения!$B$26*(A208+1)))</f>
        <v>0.00999999999382489</v>
      </c>
      <c r="E208" s="37" t="n">
        <f aca="false">D208-D207</f>
        <v>6.83491457875718E-013</v>
      </c>
      <c r="F208" s="37" t="n">
        <f aca="false">D208*MIN(1,B208*Допущения!$B$21)</f>
        <v>0.000261681583918384</v>
      </c>
      <c r="G208" s="17" t="n">
        <f aca="false">((B208-F208*Допущения!$B$23)*Допущения!$B$13*Допущения!$B$15+B208*Допущения!$B$14*Допущения!$B$16)/1000</f>
        <v>0.0102961236072194</v>
      </c>
      <c r="H208" s="17" t="n">
        <f aca="false">E208*Допущения!$B$27</f>
        <v>6.39064513113796E-011</v>
      </c>
      <c r="I208" s="17" t="n">
        <f aca="false">F208*Допущения!$B$22/30*Допущения!$B$28</f>
        <v>0.00126752526715109</v>
      </c>
      <c r="J208" s="17" t="n">
        <f aca="false">G208*Допущения!$B$17+(H208+I208)*Допущения!$B$18</f>
        <v>0.00578182446913849</v>
      </c>
      <c r="K208" s="19" t="n">
        <f aca="false">K207+J208</f>
        <v>4.43818662416206</v>
      </c>
      <c r="L208" s="19" t="n">
        <f aca="false">L207+G208*Допущения!$B$17</f>
        <v>3.64695308198755</v>
      </c>
      <c r="M208" s="19" t="n">
        <f aca="false">M207+H208*Допущения!$B$18</f>
        <v>0.467499999711314</v>
      </c>
      <c r="N208" s="19" t="n">
        <f aca="false">N207+I208*Допущения!$B$18</f>
        <v>0.323733542463208</v>
      </c>
      <c r="O208" s="19" t="n">
        <f aca="false">O207+G208+H208+I208</f>
        <v>8.87637324832414</v>
      </c>
      <c r="P208" s="17" t="n">
        <f aca="false">P207+F208</f>
        <v>0.133670086671627</v>
      </c>
      <c r="Q208" s="6" t="n">
        <f aca="false">MIN(MATCH(A208,$S$3:$X$3,1),5)</f>
        <v>5</v>
      </c>
    </row>
    <row r="209" customFormat="false" ht="15" hidden="false" customHeight="false" outlineLevel="0" collapsed="false">
      <c r="A209" s="6" t="n">
        <v>202</v>
      </c>
      <c r="B209" s="14" t="n">
        <f aca="false">INDEX($S$4:$X$4,Q209)*(INDEX($S$4:$X$4,Q209+1)/INDEX($S$4:$X$4,Q209))^((LN(A209)-LN(INDEX($S$3:$X$3,Q209)))/(LN(INDEX($S$3:$X$3,Q209+1))-LN(INDEX($S$3:$X$3,Q209))))</f>
        <v>0.0104031301655473</v>
      </c>
      <c r="C209" s="33" t="n">
        <f aca="false">C208+B209</f>
        <v>7.42271211357201</v>
      </c>
      <c r="D209" s="36" t="n">
        <f aca="false">Допущения!$B$19*(1-EXP(-Допущения!$B$26*(A209+1)))</f>
        <v>0.00999999999444027</v>
      </c>
      <c r="E209" s="37" t="n">
        <f aca="false">D209-D208</f>
        <v>6.15377540591489E-013</v>
      </c>
      <c r="F209" s="37" t="n">
        <f aca="false">D209*MIN(1,B209*Допущения!$B$21)</f>
        <v>0.000260078253994086</v>
      </c>
      <c r="G209" s="17" t="n">
        <f aca="false">((B209-F209*Допущения!$B$23)*Допущения!$B$13*Допущения!$B$15+B209*Допущения!$B$14*Допущения!$B$16)/1000</f>
        <v>0.0102330389873484</v>
      </c>
      <c r="H209" s="17" t="n">
        <f aca="false">E209*Допущения!$B$27</f>
        <v>5.75378000453042E-011</v>
      </c>
      <c r="I209" s="17" t="n">
        <f aca="false">F209*Допущения!$B$22/30*Допущения!$B$28</f>
        <v>0.00125975910661278</v>
      </c>
      <c r="J209" s="17" t="n">
        <f aca="false">G209*Допущения!$B$17+(H209+I209)*Допущения!$B$18</f>
        <v>0.00574639907574949</v>
      </c>
      <c r="K209" s="19" t="n">
        <f aca="false">K208+J209</f>
        <v>4.44393302323781</v>
      </c>
      <c r="L209" s="19" t="n">
        <f aca="false">L208+G209*Допущения!$B$17</f>
        <v>3.65206960148122</v>
      </c>
      <c r="M209" s="19" t="n">
        <f aca="false">M208+H209*Допущения!$B$18</f>
        <v>0.467499999740083</v>
      </c>
      <c r="N209" s="19" t="n">
        <f aca="false">N208+I209*Допущения!$B$18</f>
        <v>0.324363422016514</v>
      </c>
      <c r="O209" s="19" t="n">
        <f aca="false">O208+G209+H209+I209</f>
        <v>8.88786604647564</v>
      </c>
      <c r="P209" s="17" t="n">
        <f aca="false">P208+F209</f>
        <v>0.133930164925621</v>
      </c>
      <c r="Q209" s="6" t="n">
        <f aca="false">MIN(MATCH(A209,$S$3:$X$3,1),5)</f>
        <v>5</v>
      </c>
    </row>
    <row r="210" customFormat="false" ht="15" hidden="false" customHeight="false" outlineLevel="0" collapsed="false">
      <c r="A210" s="6" t="n">
        <v>203</v>
      </c>
      <c r="B210" s="14" t="n">
        <f aca="false">INDEX($S$4:$X$4,Q210)*(INDEX($S$4:$X$4,Q210+1)/INDEX($S$4:$X$4,Q210))^((LN(A210)-LN(INDEX($S$3:$X$3,Q210)))/(LN(INDEX($S$3:$X$3,Q210+1))-LN(INDEX($S$3:$X$3,Q210))))</f>
        <v>0.0103397037201318</v>
      </c>
      <c r="C210" s="33" t="n">
        <f aca="false">C209+B210</f>
        <v>7.43305181729214</v>
      </c>
      <c r="D210" s="36" t="n">
        <f aca="false">Допущения!$B$19*(1-EXP(-Допущения!$B$26*(A210+1)))</f>
        <v>0.00999999999499432</v>
      </c>
      <c r="E210" s="37" t="n">
        <f aca="false">D210-D209</f>
        <v>5.54053330992232E-013</v>
      </c>
      <c r="F210" s="37" t="n">
        <f aca="false">D210*MIN(1,B210*Допущения!$B$21)</f>
        <v>0.000258492592873902</v>
      </c>
      <c r="G210" s="17" t="n">
        <f aca="false">((B210-F210*Допущения!$B$23)*Допущения!$B$13*Допущения!$B$15+B210*Допущения!$B$14*Допущения!$B$16)/1000</f>
        <v>0.0101706495643146</v>
      </c>
      <c r="H210" s="17" t="n">
        <f aca="false">E210*Допущения!$B$27</f>
        <v>5.18039864477737E-011</v>
      </c>
      <c r="I210" s="17" t="n">
        <f aca="false">F210*Допущения!$B$22/30*Допущения!$B$28</f>
        <v>0.00125207852968843</v>
      </c>
      <c r="J210" s="17" t="n">
        <f aca="false">G210*Допущения!$B$17+(H210+I210)*Допущения!$B$18</f>
        <v>0.00571136407290352</v>
      </c>
      <c r="K210" s="19" t="n">
        <f aca="false">K209+J210</f>
        <v>4.44964438731071</v>
      </c>
      <c r="L210" s="19" t="n">
        <f aca="false">L209+G210*Допущения!$B$17</f>
        <v>3.65715492626338</v>
      </c>
      <c r="M210" s="19" t="n">
        <f aca="false">M209+H210*Допущения!$B$18</f>
        <v>0.467499999765985</v>
      </c>
      <c r="N210" s="19" t="n">
        <f aca="false">N209+I210*Допущения!$B$18</f>
        <v>0.324989461281359</v>
      </c>
      <c r="O210" s="19" t="n">
        <f aca="false">O209+G210+H210+I210</f>
        <v>8.89928877462145</v>
      </c>
      <c r="P210" s="17" t="n">
        <f aca="false">P209+F210</f>
        <v>0.134188657518495</v>
      </c>
      <c r="Q210" s="6" t="n">
        <f aca="false">MIN(MATCH(A210,$S$3:$X$3,1),5)</f>
        <v>5</v>
      </c>
    </row>
    <row r="211" customFormat="false" ht="15" hidden="false" customHeight="false" outlineLevel="0" collapsed="false">
      <c r="A211" s="6" t="n">
        <v>204</v>
      </c>
      <c r="B211" s="14" t="n">
        <f aca="false">INDEX($S$4:$X$4,Q211)*(INDEX($S$4:$X$4,Q211+1)/INDEX($S$4:$X$4,Q211))^((LN(A211)-LN(INDEX($S$3:$X$3,Q211)))/(LN(INDEX($S$3:$X$3,Q211+1))-LN(INDEX($S$3:$X$3,Q211))))</f>
        <v>0.0102769728142129</v>
      </c>
      <c r="C211" s="33" t="n">
        <f aca="false">C210+B211</f>
        <v>7.44332879010635</v>
      </c>
      <c r="D211" s="36" t="n">
        <f aca="false">Допущения!$B$19*(1-EXP(-Допущения!$B$26*(A211+1)))</f>
        <v>0.00999999999549316</v>
      </c>
      <c r="E211" s="37" t="n">
        <f aca="false">D211-D210</f>
        <v>4.98838817475367E-013</v>
      </c>
      <c r="F211" s="37" t="n">
        <f aca="false">D211*MIN(1,B211*Допущения!$B$21)</f>
        <v>0.000256924320239531</v>
      </c>
      <c r="G211" s="17" t="n">
        <f aca="false">((B211-F211*Допущения!$B$23)*Допущения!$B$13*Допущения!$B$15+B211*Допущения!$B$14*Допущения!$B$16)/1000</f>
        <v>0.0101089443087068</v>
      </c>
      <c r="H211" s="17" t="n">
        <f aca="false">E211*Допущения!$B$27</f>
        <v>4.66414294339468E-011</v>
      </c>
      <c r="I211" s="17" t="n">
        <f aca="false">F211*Допущения!$B$22/30*Допущения!$B$28</f>
        <v>0.00124448217858079</v>
      </c>
      <c r="J211" s="17" t="n">
        <f aca="false">G211*Допущения!$B$17+(H211+I211)*Допущения!$B$18</f>
        <v>0.0056767132669645</v>
      </c>
      <c r="K211" s="19" t="n">
        <f aca="false">K210+J211</f>
        <v>4.45532110057768</v>
      </c>
      <c r="L211" s="19" t="n">
        <f aca="false">L210+G211*Допущения!$B$17</f>
        <v>3.66220939841773</v>
      </c>
      <c r="M211" s="19" t="n">
        <f aca="false">M210+H211*Допущения!$B$18</f>
        <v>0.467499999789306</v>
      </c>
      <c r="N211" s="19" t="n">
        <f aca="false">N210+I211*Допущения!$B$18</f>
        <v>0.325611702370649</v>
      </c>
      <c r="O211" s="19" t="n">
        <f aca="false">O210+G211+H211+I211</f>
        <v>8.91064220115537</v>
      </c>
      <c r="P211" s="17" t="n">
        <f aca="false">P210+F211</f>
        <v>0.134445581838735</v>
      </c>
      <c r="Q211" s="6" t="n">
        <f aca="false">MIN(MATCH(A211,$S$3:$X$3,1),5)</f>
        <v>5</v>
      </c>
    </row>
    <row r="212" customFormat="false" ht="15" hidden="false" customHeight="false" outlineLevel="0" collapsed="false">
      <c r="A212" s="6" t="n">
        <v>205</v>
      </c>
      <c r="B212" s="14" t="n">
        <f aca="false">INDEX($S$4:$X$4,Q212)*(INDEX($S$4:$X$4,Q212+1)/INDEX($S$4:$X$4,Q212))^((LN(A212)-LN(INDEX($S$3:$X$3,Q212)))/(LN(INDEX($S$3:$X$3,Q212+1))-LN(INDEX($S$3:$X$3,Q212))))</f>
        <v>0.0102149264667399</v>
      </c>
      <c r="C212" s="33" t="n">
        <f aca="false">C211+B212</f>
        <v>7.45354371657309</v>
      </c>
      <c r="D212" s="36" t="n">
        <f aca="false">Допущения!$B$19*(1-EXP(-Допущения!$B$26*(A212+1)))</f>
        <v>0.00999999999594229</v>
      </c>
      <c r="E212" s="37" t="n">
        <f aca="false">D212-D211</f>
        <v>4.49128581547775E-013</v>
      </c>
      <c r="F212" s="37" t="n">
        <f aca="false">D212*MIN(1,B212*Допущения!$B$21)</f>
        <v>0.000255373161564874</v>
      </c>
      <c r="G212" s="17" t="n">
        <f aca="false">((B212-F212*Допущения!$B$23)*Допущения!$B$13*Допущения!$B$15+B212*Допущения!$B$14*Допущения!$B$16)/1000</f>
        <v>0.0100479124190143</v>
      </c>
      <c r="H212" s="17" t="n">
        <f aca="false">E212*Допущения!$B$27</f>
        <v>4.1993522374717E-011</v>
      </c>
      <c r="I212" s="17" t="n">
        <f aca="false">F212*Допущения!$B$22/30*Допущения!$B$28</f>
        <v>0.00123696872354874</v>
      </c>
      <c r="J212" s="17" t="n">
        <f aca="false">G212*Допущения!$B$17+(H212+I212)*Допущения!$B$18</f>
        <v>0.00564244059227827</v>
      </c>
      <c r="K212" s="19" t="n">
        <f aca="false">K211+J212</f>
        <v>4.46096354116996</v>
      </c>
      <c r="L212" s="19" t="n">
        <f aca="false">L211+G212*Допущения!$B$17</f>
        <v>3.66723335462724</v>
      </c>
      <c r="M212" s="19" t="n">
        <f aca="false">M211+H212*Допущения!$B$18</f>
        <v>0.467499999810303</v>
      </c>
      <c r="N212" s="19" t="n">
        <f aca="false">N211+I212*Допущения!$B$18</f>
        <v>0.326230186732423</v>
      </c>
      <c r="O212" s="19" t="n">
        <f aca="false">O211+G212+H212+I212</f>
        <v>8.92192708233993</v>
      </c>
      <c r="P212" s="17" t="n">
        <f aca="false">P211+F212</f>
        <v>0.1347009550003</v>
      </c>
      <c r="Q212" s="6" t="n">
        <f aca="false">MIN(MATCH(A212,$S$3:$X$3,1),5)</f>
        <v>5</v>
      </c>
    </row>
    <row r="213" customFormat="false" ht="15" hidden="false" customHeight="false" outlineLevel="0" collapsed="false">
      <c r="A213" s="6" t="n">
        <v>206</v>
      </c>
      <c r="B213" s="14" t="n">
        <f aca="false">INDEX($S$4:$X$4,Q213)*(INDEX($S$4:$X$4,Q213+1)/INDEX($S$4:$X$4,Q213))^((LN(A213)-LN(INDEX($S$3:$X$3,Q213)))/(LN(INDEX($S$3:$X$3,Q213+1))-LN(INDEX($S$3:$X$3,Q213))))</f>
        <v>0.0101535539224628</v>
      </c>
      <c r="C213" s="33" t="n">
        <f aca="false">C212+B213</f>
        <v>7.46369727049556</v>
      </c>
      <c r="D213" s="36" t="n">
        <f aca="false">Допущения!$B$19*(1-EXP(-Допущения!$B$26*(A213+1)))</f>
        <v>0.00999999999634666</v>
      </c>
      <c r="E213" s="37" t="n">
        <f aca="false">D213-D212</f>
        <v>4.04367511697146E-013</v>
      </c>
      <c r="F213" s="37" t="n">
        <f aca="false">D213*MIN(1,B213*Допущения!$B$21)</f>
        <v>0.000253838847968835</v>
      </c>
      <c r="G213" s="17" t="n">
        <f aca="false">((B213-F213*Допущения!$B$23)*Допущения!$B$13*Допущения!$B$15+B213*Допущения!$B$14*Допущения!$B$16)/1000</f>
        <v>0.00998754331583559</v>
      </c>
      <c r="H213" s="17" t="n">
        <f aca="false">E213*Допущения!$B$27</f>
        <v>3.78083623436831E-011</v>
      </c>
      <c r="I213" s="17" t="n">
        <f aca="false">F213*Допущения!$B$22/30*Допущения!$B$28</f>
        <v>0.00122953686219422</v>
      </c>
      <c r="J213" s="17" t="n">
        <f aca="false">G213*Допущения!$B$17+(H213+I213)*Допущения!$B$18</f>
        <v>0.00560854010791908</v>
      </c>
      <c r="K213" s="19" t="n">
        <f aca="false">K212+J213</f>
        <v>4.46657208127788</v>
      </c>
      <c r="L213" s="19" t="n">
        <f aca="false">L212+G213*Допущения!$B$17</f>
        <v>3.67222712628516</v>
      </c>
      <c r="M213" s="19" t="n">
        <f aca="false">M212+H213*Допущения!$B$18</f>
        <v>0.467499999829207</v>
      </c>
      <c r="N213" s="19" t="n">
        <f aca="false">N212+I213*Допущения!$B$18</f>
        <v>0.32684495516352</v>
      </c>
      <c r="O213" s="19" t="n">
        <f aca="false">O212+G213+H213+I213</f>
        <v>8.93314416255577</v>
      </c>
      <c r="P213" s="17" t="n">
        <f aca="false">P212+F213</f>
        <v>0.134954793848268</v>
      </c>
      <c r="Q213" s="6" t="n">
        <f aca="false">MIN(MATCH(A213,$S$3:$X$3,1),5)</f>
        <v>5</v>
      </c>
    </row>
    <row r="214" customFormat="false" ht="15" hidden="false" customHeight="false" outlineLevel="0" collapsed="false">
      <c r="A214" s="6" t="n">
        <v>207</v>
      </c>
      <c r="B214" s="14" t="n">
        <f aca="false">INDEX($S$4:$X$4,Q214)*(INDEX($S$4:$X$4,Q214+1)/INDEX($S$4:$X$4,Q214))^((LN(A214)-LN(INDEX($S$3:$X$3,Q214)))/(LN(INDEX($S$3:$X$3,Q214+1))-LN(INDEX($S$3:$X$3,Q214))))</f>
        <v>0.0100928446462217</v>
      </c>
      <c r="C214" s="33" t="n">
        <f aca="false">C213+B214</f>
        <v>7.47379011514178</v>
      </c>
      <c r="D214" s="36" t="n">
        <f aca="false">Допущения!$B$19*(1-EXP(-Допущения!$B$26*(A214+1)))</f>
        <v>0.00999999999671073</v>
      </c>
      <c r="E214" s="37" t="n">
        <f aca="false">D214-D213</f>
        <v>3.64073354797156E-013</v>
      </c>
      <c r="F214" s="37" t="n">
        <f aca="false">D214*MIN(1,B214*Допущения!$B$21)</f>
        <v>0.000252321116072548</v>
      </c>
      <c r="G214" s="17" t="n">
        <f aca="false">((B214-F214*Допущения!$B$23)*Допущения!$B$13*Допущения!$B$15+B214*Допущения!$B$14*Допущения!$B$16)/1000</f>
        <v>0.00992782663626049</v>
      </c>
      <c r="H214" s="17" t="n">
        <f aca="false">E214*Допущения!$B$27</f>
        <v>3.40408586735341E-011</v>
      </c>
      <c r="I214" s="17" t="n">
        <f aca="false">F214*Допущения!$B$22/30*Допущения!$B$28</f>
        <v>0.00122218531877072</v>
      </c>
      <c r="J214" s="17" t="n">
        <f aca="false">G214*Допущения!$B$17+(H214+I214)*Допущения!$B$18</f>
        <v>0.00557500599453603</v>
      </c>
      <c r="K214" s="19" t="n">
        <f aca="false">K213+J214</f>
        <v>4.47214708727241</v>
      </c>
      <c r="L214" s="19" t="n">
        <f aca="false">L213+G214*Допущения!$B$17</f>
        <v>3.67719103960329</v>
      </c>
      <c r="M214" s="19" t="n">
        <f aca="false">M213+H214*Допущения!$B$18</f>
        <v>0.467499999846227</v>
      </c>
      <c r="N214" s="19" t="n">
        <f aca="false">N213+I214*Допущения!$B$18</f>
        <v>0.327456047822906</v>
      </c>
      <c r="O214" s="19" t="n">
        <f aca="false">O213+G214+H214+I214</f>
        <v>8.94429417454484</v>
      </c>
      <c r="P214" s="17" t="n">
        <f aca="false">P213+F214</f>
        <v>0.135207114964341</v>
      </c>
      <c r="Q214" s="6" t="n">
        <f aca="false">MIN(MATCH(A214,$S$3:$X$3,1),5)</f>
        <v>5</v>
      </c>
    </row>
    <row r="215" customFormat="false" ht="15" hidden="false" customHeight="false" outlineLevel="0" collapsed="false">
      <c r="A215" s="6" t="n">
        <v>208</v>
      </c>
      <c r="B215" s="14" t="n">
        <f aca="false">INDEX($S$4:$X$4,Q215)*(INDEX($S$4:$X$4,Q215+1)/INDEX($S$4:$X$4,Q215))^((LN(A215)-LN(INDEX($S$3:$X$3,Q215)))/(LN(INDEX($S$3:$X$3,Q215+1))-LN(INDEX($S$3:$X$3,Q215))))</f>
        <v>0.0100327883174067</v>
      </c>
      <c r="C215" s="33" t="n">
        <f aca="false">C214+B215</f>
        <v>7.48382290345918</v>
      </c>
      <c r="D215" s="36" t="n">
        <f aca="false">Допущения!$B$19*(1-EXP(-Допущения!$B$26*(A215+1)))</f>
        <v>0.00999999999703852</v>
      </c>
      <c r="E215" s="37" t="n">
        <f aca="false">D215-D214</f>
        <v>3.27789878573626E-013</v>
      </c>
      <c r="F215" s="37" t="n">
        <f aca="false">D215*MIN(1,B215*Допущения!$B$21)</f>
        <v>0.000250819707860888</v>
      </c>
      <c r="G215" s="17" t="n">
        <f aca="false">((B215-F215*Допущения!$B$23)*Допущения!$B$13*Допущения!$B$15+B215*Допущения!$B$14*Допущения!$B$16)/1000</f>
        <v>0.00986875222842112</v>
      </c>
      <c r="H215" s="17" t="n">
        <f aca="false">E215*Допущения!$B$27</f>
        <v>3.0648353646634E-011</v>
      </c>
      <c r="I215" s="17" t="n">
        <f aca="false">F215*Допущения!$B$22/30*Допущения!$B$28</f>
        <v>0.00121491284351247</v>
      </c>
      <c r="J215" s="17" t="n">
        <f aca="false">G215*Допущения!$B$17+(H215+I215)*Допущения!$B$18</f>
        <v>0.00554183255129097</v>
      </c>
      <c r="K215" s="19" t="n">
        <f aca="false">K214+J215</f>
        <v>4.4776889198237</v>
      </c>
      <c r="L215" s="19" t="n">
        <f aca="false">L214+G215*Допущения!$B$17</f>
        <v>3.6821254157175</v>
      </c>
      <c r="M215" s="19" t="n">
        <f aca="false">M214+H215*Допущения!$B$18</f>
        <v>0.467499999861551</v>
      </c>
      <c r="N215" s="19" t="n">
        <f aca="false">N214+I215*Допущения!$B$18</f>
        <v>0.328063504244662</v>
      </c>
      <c r="O215" s="19" t="n">
        <f aca="false">O214+G215+H215+I215</f>
        <v>8.95537783964742</v>
      </c>
      <c r="P215" s="17" t="n">
        <f aca="false">P214+F215</f>
        <v>0.135457934672202</v>
      </c>
      <c r="Q215" s="6" t="n">
        <f aca="false">MIN(MATCH(A215,$S$3:$X$3,1),5)</f>
        <v>5</v>
      </c>
    </row>
    <row r="216" customFormat="false" ht="15" hidden="false" customHeight="false" outlineLevel="0" collapsed="false">
      <c r="A216" s="6" t="n">
        <v>209</v>
      </c>
      <c r="B216" s="14" t="n">
        <f aca="false">INDEX($S$4:$X$4,Q216)*(INDEX($S$4:$X$4,Q216+1)/INDEX($S$4:$X$4,Q216))^((LN(A216)-LN(INDEX($S$3:$X$3,Q216)))/(LN(INDEX($S$3:$X$3,Q216+1))-LN(INDEX($S$3:$X$3,Q216))))</f>
        <v>0.00997337482458378</v>
      </c>
      <c r="C216" s="33" t="n">
        <f aca="false">C215+B216</f>
        <v>7.49379627828377</v>
      </c>
      <c r="D216" s="36" t="n">
        <f aca="false">Допущения!$B$19*(1-EXP(-Допущения!$B$26*(A216+1)))</f>
        <v>0.00999999999733365</v>
      </c>
      <c r="E216" s="37" t="n">
        <f aca="false">D216-D215</f>
        <v>2.95125035520982E-013</v>
      </c>
      <c r="F216" s="37" t="n">
        <f aca="false">D216*MIN(1,B216*Допущения!$B$21)</f>
        <v>0.000249334370548113</v>
      </c>
      <c r="G216" s="17" t="n">
        <f aca="false">((B216-F216*Допущения!$B$23)*Допущения!$B$13*Допущения!$B$15+B216*Допущения!$B$14*Допущения!$B$16)/1000</f>
        <v>0.00981031014620542</v>
      </c>
      <c r="H216" s="17" t="n">
        <f aca="false">E216*Допущения!$B$27</f>
        <v>2.75941908212118E-011</v>
      </c>
      <c r="I216" s="17" t="n">
        <f aca="false">F216*Допущения!$B$22/30*Допущения!$B$28</f>
        <v>0.00120771821198359</v>
      </c>
      <c r="J216" s="17" t="n">
        <f aca="false">G216*Допущения!$B$17+(H216+I216)*Допущения!$B$18</f>
        <v>0.0055090141928916</v>
      </c>
      <c r="K216" s="19" t="n">
        <f aca="false">K215+J216</f>
        <v>4.48319793401659</v>
      </c>
      <c r="L216" s="19" t="n">
        <f aca="false">L215+G216*Допущения!$B$17</f>
        <v>3.6870305707906</v>
      </c>
      <c r="M216" s="19" t="n">
        <f aca="false">M215+H216*Допущения!$B$18</f>
        <v>0.467499999875348</v>
      </c>
      <c r="N216" s="19" t="n">
        <f aca="false">N215+I216*Допущения!$B$18</f>
        <v>0.328667363350654</v>
      </c>
      <c r="O216" s="19" t="n">
        <f aca="false">O215+G216+H216+I216</f>
        <v>8.9663958680332</v>
      </c>
      <c r="P216" s="17" t="n">
        <f aca="false">P215+F216</f>
        <v>0.13570726904275</v>
      </c>
      <c r="Q216" s="6" t="n">
        <f aca="false">MIN(MATCH(A216,$S$3:$X$3,1),5)</f>
        <v>5</v>
      </c>
    </row>
    <row r="217" customFormat="false" ht="15" hidden="false" customHeight="false" outlineLevel="0" collapsed="false">
      <c r="A217" s="6" t="n">
        <v>210</v>
      </c>
      <c r="B217" s="14" t="n">
        <f aca="false">INDEX($S$4:$X$4,Q217)*(INDEX($S$4:$X$4,Q217+1)/INDEX($S$4:$X$4,Q217))^((LN(A217)-LN(INDEX($S$3:$X$3,Q217)))/(LN(INDEX($S$3:$X$3,Q217+1))-LN(INDEX($S$3:$X$3,Q217))))</f>
        <v>0.00991459426027985</v>
      </c>
      <c r="C217" s="33" t="n">
        <f aca="false">C216+B217</f>
        <v>7.50371087254405</v>
      </c>
      <c r="D217" s="36" t="n">
        <f aca="false">Допущения!$B$19*(1-EXP(-Допущения!$B$26*(A217+1)))</f>
        <v>0.00999999999759936</v>
      </c>
      <c r="E217" s="37" t="n">
        <f aca="false">D217-D216</f>
        <v>2.65716268432747E-013</v>
      </c>
      <c r="F217" s="37" t="n">
        <f aca="false">D217*MIN(1,B217*Допущения!$B$21)</f>
        <v>0.000247864856447493</v>
      </c>
      <c r="G217" s="17" t="n">
        <f aca="false">((B217-F217*Допущения!$B$23)*Допущения!$B$13*Допущения!$B$15+B217*Допущения!$B$14*Допущения!$B$16)/1000</f>
        <v>0.00975249064412748</v>
      </c>
      <c r="H217" s="17" t="n">
        <f aca="false">E217*Допущения!$B$27</f>
        <v>2.48444710984619E-011</v>
      </c>
      <c r="I217" s="17" t="n">
        <f aca="false">F217*Допущения!$B$22/30*Допущения!$B$28</f>
        <v>0.00120060022444668</v>
      </c>
      <c r="J217" s="17" t="n">
        <f aca="false">G217*Допущения!$B$17+(H217+I217)*Допущения!$B$18</f>
        <v>0.00547654544670932</v>
      </c>
      <c r="K217" s="19" t="n">
        <f aca="false">K216+J217</f>
        <v>4.4886744794633</v>
      </c>
      <c r="L217" s="19" t="n">
        <f aca="false">L216+G217*Допущения!$B$17</f>
        <v>3.69190681611266</v>
      </c>
      <c r="M217" s="19" t="n">
        <f aca="false">M216+H217*Допущения!$B$18</f>
        <v>0.467499999887771</v>
      </c>
      <c r="N217" s="19" t="n">
        <f aca="false">N216+I217*Допущения!$B$18</f>
        <v>0.329267663462877</v>
      </c>
      <c r="O217" s="19" t="n">
        <f aca="false">O216+G217+H217+I217</f>
        <v>8.97734895892662</v>
      </c>
      <c r="P217" s="17" t="n">
        <f aca="false">P216+F217</f>
        <v>0.135955133899198</v>
      </c>
      <c r="Q217" s="6" t="n">
        <f aca="false">MIN(MATCH(A217,$S$3:$X$3,1),5)</f>
        <v>5</v>
      </c>
    </row>
    <row r="218" customFormat="false" ht="15" hidden="false" customHeight="false" outlineLevel="0" collapsed="false">
      <c r="A218" s="6" t="n">
        <v>211</v>
      </c>
      <c r="B218" s="14" t="n">
        <f aca="false">INDEX($S$4:$X$4,Q218)*(INDEX($S$4:$X$4,Q218+1)/INDEX($S$4:$X$4,Q218))^((LN(A218)-LN(INDEX($S$3:$X$3,Q218)))/(LN(INDEX($S$3:$X$3,Q218+1))-LN(INDEX($S$3:$X$3,Q218))))</f>
        <v>0.00985643691592201</v>
      </c>
      <c r="C218" s="33" t="n">
        <f aca="false">C217+B218</f>
        <v>7.51356730945997</v>
      </c>
      <c r="D218" s="36" t="n">
        <f aca="false">Допущения!$B$19*(1-EXP(-Допущения!$B$26*(A218+1)))</f>
        <v>0.0099999999978386</v>
      </c>
      <c r="E218" s="37" t="n">
        <f aca="false">D218-D217</f>
        <v>2.39233979848486E-013</v>
      </c>
      <c r="F218" s="37" t="n">
        <f aca="false">D218*MIN(1,B218*Допущения!$B$21)</f>
        <v>0.000246410922844791</v>
      </c>
      <c r="G218" s="17" t="n">
        <f aca="false">((B218-F218*Допущения!$B$23)*Допущения!$B$13*Допущения!$B$15+B218*Допущения!$B$14*Допущения!$B$16)/1000</f>
        <v>0.00969528417234956</v>
      </c>
      <c r="H218" s="17" t="n">
        <f aca="false">E218*Допущения!$B$27</f>
        <v>2.23683771158334E-011</v>
      </c>
      <c r="I218" s="17" t="n">
        <f aca="false">F218*Допущения!$B$22/30*Допущения!$B$28</f>
        <v>0.00119355770524992</v>
      </c>
      <c r="J218" s="17" t="n">
        <f aca="false">G218*Допущения!$B$17+(H218+I218)*Допущения!$B$18</f>
        <v>0.00544442094998393</v>
      </c>
      <c r="K218" s="19" t="n">
        <f aca="false">K217+J218</f>
        <v>4.49411890041329</v>
      </c>
      <c r="L218" s="19" t="n">
        <f aca="false">L217+G218*Допущения!$B$17</f>
        <v>3.69675445819884</v>
      </c>
      <c r="M218" s="19" t="n">
        <f aca="false">M217+H218*Допущения!$B$18</f>
        <v>0.467499999898955</v>
      </c>
      <c r="N218" s="19" t="n">
        <f aca="false">N217+I218*Допущения!$B$18</f>
        <v>0.329864442315502</v>
      </c>
      <c r="O218" s="19" t="n">
        <f aca="false">O217+G218+H218+I218</f>
        <v>8.98823780082659</v>
      </c>
      <c r="P218" s="17" t="n">
        <f aca="false">P217+F218</f>
        <v>0.136201544822042</v>
      </c>
      <c r="Q218" s="6" t="n">
        <f aca="false">MIN(MATCH(A218,$S$3:$X$3,1),5)</f>
        <v>5</v>
      </c>
    </row>
    <row r="219" customFormat="false" ht="15" hidden="false" customHeight="false" outlineLevel="0" collapsed="false">
      <c r="A219" s="6" t="n">
        <v>212</v>
      </c>
      <c r="B219" s="14" t="n">
        <f aca="false">INDEX($S$4:$X$4,Q219)*(INDEX($S$4:$X$4,Q219+1)/INDEX($S$4:$X$4,Q219))^((LN(A219)-LN(INDEX($S$3:$X$3,Q219)))/(LN(INDEX($S$3:$X$3,Q219+1))-LN(INDEX($S$3:$X$3,Q219))))</f>
        <v>0.00979889327692562</v>
      </c>
      <c r="C219" s="33" t="n">
        <f aca="false">C218+B219</f>
        <v>7.52336620273689</v>
      </c>
      <c r="D219" s="36" t="n">
        <f aca="false">Допущения!$B$19*(1-EXP(-Допущения!$B$26*(A219+1)))</f>
        <v>0.00999999999805399</v>
      </c>
      <c r="E219" s="37" t="n">
        <f aca="false">D219-D218</f>
        <v>2.15393675118136E-013</v>
      </c>
      <c r="F219" s="37" t="n">
        <f aca="false">D219*MIN(1,B219*Допущения!$B$21)</f>
        <v>0.000244972331875469</v>
      </c>
      <c r="G219" s="17" t="n">
        <f aca="false">((B219-F219*Допущения!$B$23)*Допущения!$B$13*Допущения!$B$15+B219*Допущения!$B$14*Допущения!$B$16)/1000</f>
        <v>0.00963868137185046</v>
      </c>
      <c r="H219" s="17" t="n">
        <f aca="false">E219*Допущения!$B$27</f>
        <v>2.01393086235457E-011</v>
      </c>
      <c r="I219" s="17" t="n">
        <f aca="false">F219*Допущения!$B$22/30*Допущения!$B$28</f>
        <v>0.00118658950223231</v>
      </c>
      <c r="J219" s="17" t="n">
        <f aca="false">G219*Допущения!$B$17+(H219+I219)*Допущения!$B$18</f>
        <v>0.00541263544711104</v>
      </c>
      <c r="K219" s="19" t="n">
        <f aca="false">K218+J219</f>
        <v>4.4995315358604</v>
      </c>
      <c r="L219" s="19" t="n">
        <f aca="false">L218+G219*Допущения!$B$17</f>
        <v>3.70157379888476</v>
      </c>
      <c r="M219" s="19" t="n">
        <f aca="false">M218+H219*Допущения!$B$18</f>
        <v>0.467499999909024</v>
      </c>
      <c r="N219" s="19" t="n">
        <f aca="false">N218+I219*Допущения!$B$18</f>
        <v>0.330457737066618</v>
      </c>
      <c r="O219" s="19" t="n">
        <f aca="false">O218+G219+H219+I219</f>
        <v>8.99906307172081</v>
      </c>
      <c r="P219" s="17" t="n">
        <f aca="false">P218+F219</f>
        <v>0.136446517153918</v>
      </c>
      <c r="Q219" s="6" t="n">
        <f aca="false">MIN(MATCH(A219,$S$3:$X$3,1),5)</f>
        <v>5</v>
      </c>
    </row>
    <row r="220" customFormat="false" ht="15" hidden="false" customHeight="false" outlineLevel="0" collapsed="false">
      <c r="A220" s="6" t="n">
        <v>213</v>
      </c>
      <c r="B220" s="14" t="n">
        <f aca="false">INDEX($S$4:$X$4,Q220)*(INDEX($S$4:$X$4,Q220+1)/INDEX($S$4:$X$4,Q220))^((LN(A220)-LN(INDEX($S$3:$X$3,Q220)))/(LN(INDEX($S$3:$X$3,Q220+1))-LN(INDEX($S$3:$X$3,Q220))))</f>
        <v>0.00974195401792612</v>
      </c>
      <c r="C220" s="33" t="n">
        <f aca="false">C219+B220</f>
        <v>7.53310815675482</v>
      </c>
      <c r="D220" s="36" t="n">
        <f aca="false">Допущения!$B$19*(1-EXP(-Допущения!$B$26*(A220+1)))</f>
        <v>0.00999999999824792</v>
      </c>
      <c r="E220" s="37" t="n">
        <f aca="false">D220-D219</f>
        <v>1.93928206826399E-013</v>
      </c>
      <c r="F220" s="37" t="n">
        <f aca="false">D220*MIN(1,B220*Допущения!$B$21)</f>
        <v>0.000243548850405481</v>
      </c>
      <c r="G220" s="17" t="n">
        <f aca="false">((B220-F220*Допущения!$B$23)*Допущения!$B$13*Допущения!$B$15+B220*Допущения!$B$14*Допущения!$B$16)/1000</f>
        <v>0.00958267306973533</v>
      </c>
      <c r="H220" s="17" t="n">
        <f aca="false">E220*Допущения!$B$27</f>
        <v>1.81322873382683E-011</v>
      </c>
      <c r="I220" s="17" t="n">
        <f aca="false">F220*Допущения!$B$22/30*Допущения!$B$28</f>
        <v>0.0011796944861463</v>
      </c>
      <c r="J220" s="17" t="n">
        <f aca="false">G220*Допущения!$B$17+(H220+I220)*Допущения!$B$18</f>
        <v>0.00538118378700696</v>
      </c>
      <c r="K220" s="19" t="n">
        <f aca="false">K219+J220</f>
        <v>4.50491271964741</v>
      </c>
      <c r="L220" s="19" t="n">
        <f aca="false">L219+G220*Допущения!$B$17</f>
        <v>3.70636513541963</v>
      </c>
      <c r="M220" s="19" t="n">
        <f aca="false">M219+H220*Допущения!$B$18</f>
        <v>0.467499999918091</v>
      </c>
      <c r="N220" s="19" t="n">
        <f aca="false">N219+I220*Допущения!$B$18</f>
        <v>0.331047584309691</v>
      </c>
      <c r="O220" s="19" t="n">
        <f aca="false">O219+G220+H220+I220</f>
        <v>9.00982543929482</v>
      </c>
      <c r="P220" s="17" t="n">
        <f aca="false">P219+F220</f>
        <v>0.136690066004323</v>
      </c>
      <c r="Q220" s="6" t="n">
        <f aca="false">MIN(MATCH(A220,$S$3:$X$3,1),5)</f>
        <v>5</v>
      </c>
    </row>
    <row r="221" customFormat="false" ht="15" hidden="false" customHeight="false" outlineLevel="0" collapsed="false">
      <c r="A221" s="6" t="n">
        <v>214</v>
      </c>
      <c r="B221" s="14" t="n">
        <f aca="false">INDEX($S$4:$X$4,Q221)*(INDEX($S$4:$X$4,Q221+1)/INDEX($S$4:$X$4,Q221))^((LN(A221)-LN(INDEX($S$3:$X$3,Q221)))/(LN(INDEX($S$3:$X$3,Q221+1))-LN(INDEX($S$3:$X$3,Q221))))</f>
        <v>0.00968560999814986</v>
      </c>
      <c r="C221" s="33" t="n">
        <f aca="false">C220+B221</f>
        <v>7.54279376675297</v>
      </c>
      <c r="D221" s="36" t="n">
        <f aca="false">Допущения!$B$19*(1-EXP(-Допущения!$B$26*(A221+1)))</f>
        <v>0.00999999999842252</v>
      </c>
      <c r="E221" s="37" t="n">
        <f aca="false">D221-D220</f>
        <v>1.74603387304018E-013</v>
      </c>
      <c r="F221" s="37" t="n">
        <f aca="false">D221*MIN(1,B221*Допущения!$B$21)</f>
        <v>0.000242140249915549</v>
      </c>
      <c r="G221" s="17" t="n">
        <f aca="false">((B221-F221*Допущения!$B$23)*Допущения!$B$13*Допущения!$B$15+B221*Допущения!$B$14*Допущения!$B$16)/1000</f>
        <v>0.00952725027468217</v>
      </c>
      <c r="H221" s="17" t="n">
        <f aca="false">E221*Допущения!$B$27</f>
        <v>1.63254167129256E-011</v>
      </c>
      <c r="I221" s="17" t="n">
        <f aca="false">F221*Допущения!$B$22/30*Допущения!$B$28</f>
        <v>0.00117287155009717</v>
      </c>
      <c r="J221" s="17" t="n">
        <f aca="false">G221*Допущения!$B$17+(H221+I221)*Допущения!$B$18</f>
        <v>0.00535006092055238</v>
      </c>
      <c r="K221" s="19" t="n">
        <f aca="false">K220+J221</f>
        <v>4.51026278056796</v>
      </c>
      <c r="L221" s="19" t="n">
        <f aca="false">L220+G221*Допущения!$B$17</f>
        <v>3.71112876055697</v>
      </c>
      <c r="M221" s="19" t="n">
        <f aca="false">M220+H221*Допущения!$B$18</f>
        <v>0.467499999926253</v>
      </c>
      <c r="N221" s="19" t="n">
        <f aca="false">N220+I221*Допущения!$B$18</f>
        <v>0.33163402008474</v>
      </c>
      <c r="O221" s="19" t="n">
        <f aca="false">O220+G221+H221+I221</f>
        <v>9.02052556113593</v>
      </c>
      <c r="P221" s="17" t="n">
        <f aca="false">P220+F221</f>
        <v>0.136932206254239</v>
      </c>
      <c r="Q221" s="6" t="n">
        <f aca="false">MIN(MATCH(A221,$S$3:$X$3,1),5)</f>
        <v>5</v>
      </c>
    </row>
    <row r="222" customFormat="false" ht="15" hidden="false" customHeight="false" outlineLevel="0" collapsed="false">
      <c r="A222" s="6" t="n">
        <v>215</v>
      </c>
      <c r="B222" s="14" t="n">
        <f aca="false">INDEX($S$4:$X$4,Q222)*(INDEX($S$4:$X$4,Q222+1)/INDEX($S$4:$X$4,Q222))^((LN(A222)-LN(INDEX($S$3:$X$3,Q222)))/(LN(INDEX($S$3:$X$3,Q222+1))-LN(INDEX($S$3:$X$3,Q222))))</f>
        <v>0.00962985225691904</v>
      </c>
      <c r="C222" s="33" t="n">
        <f aca="false">C221+B222</f>
        <v>7.55242361900989</v>
      </c>
      <c r="D222" s="36" t="n">
        <f aca="false">Допущения!$B$19*(1-EXP(-Допущения!$B$26*(A222+1)))</f>
        <v>0.00999999999857973</v>
      </c>
      <c r="E222" s="37" t="n">
        <f aca="false">D222-D221</f>
        <v>1.57202376116494E-013</v>
      </c>
      <c r="F222" s="37" t="n">
        <f aca="false">D222*MIN(1,B222*Допущения!$B$21)</f>
        <v>0.000240746306388783</v>
      </c>
      <c r="G222" s="17" t="n">
        <f aca="false">((B222-F222*Допущения!$B$23)*Допущения!$B$13*Допущения!$B$15+B222*Допущения!$B$14*Допущения!$B$16)/1000</f>
        <v>0.00947240417252026</v>
      </c>
      <c r="H222" s="17" t="n">
        <f aca="false">E222*Допущения!$B$27</f>
        <v>1.46984221668922E-011</v>
      </c>
      <c r="I222" s="17" t="n">
        <f aca="false">F222*Допущения!$B$22/30*Допущения!$B$28</f>
        <v>0.00116611960899875</v>
      </c>
      <c r="J222" s="17" t="n">
        <f aca="false">G222*Допущения!$B$17+(H222+I222)*Допущения!$B$18</f>
        <v>0.00531926189810872</v>
      </c>
      <c r="K222" s="19" t="n">
        <f aca="false">K221+J222</f>
        <v>4.51558204246607</v>
      </c>
      <c r="L222" s="19" t="n">
        <f aca="false">L221+G222*Допущения!$B$17</f>
        <v>3.71586496264323</v>
      </c>
      <c r="M222" s="19" t="n">
        <f aca="false">M221+H222*Допущения!$B$18</f>
        <v>0.467499999933603</v>
      </c>
      <c r="N222" s="19" t="n">
        <f aca="false">N221+I222*Допущения!$B$18</f>
        <v>0.332217079889239</v>
      </c>
      <c r="O222" s="19" t="n">
        <f aca="false">O221+G222+H222+I222</f>
        <v>9.03116408493215</v>
      </c>
      <c r="P222" s="17" t="n">
        <f aca="false">P221+F222</f>
        <v>0.137172952560628</v>
      </c>
      <c r="Q222" s="6" t="n">
        <f aca="false">MIN(MATCH(A222,$S$3:$X$3,1),5)</f>
        <v>5</v>
      </c>
    </row>
    <row r="223" customFormat="false" ht="15" hidden="false" customHeight="false" outlineLevel="0" collapsed="false">
      <c r="A223" s="6" t="n">
        <v>216</v>
      </c>
      <c r="B223" s="14" t="n">
        <f aca="false">INDEX($S$4:$X$4,Q223)*(INDEX($S$4:$X$4,Q223+1)/INDEX($S$4:$X$4,Q223))^((LN(A223)-LN(INDEX($S$3:$X$3,Q223)))/(LN(INDEX($S$3:$X$3,Q223+1))-LN(INDEX($S$3:$X$3,Q223))))</f>
        <v>0.00957467200928655</v>
      </c>
      <c r="C223" s="33" t="n">
        <f aca="false">C222+B223</f>
        <v>7.56199829101918</v>
      </c>
      <c r="D223" s="36" t="n">
        <f aca="false">Допущения!$B$19*(1-EXP(-Допущения!$B$26*(A223+1)))</f>
        <v>0.00999999999872126</v>
      </c>
      <c r="E223" s="37" t="n">
        <f aca="false">D223-D222</f>
        <v>1.41537823128424E-013</v>
      </c>
      <c r="F223" s="37" t="n">
        <f aca="false">D223*MIN(1,B223*Допущения!$B$21)</f>
        <v>0.000239366800201555</v>
      </c>
      <c r="G223" s="17" t="n">
        <f aca="false">((B223-F223*Допущения!$B$23)*Допущения!$B$13*Допущения!$B$15+B223*Допущения!$B$14*Допущения!$B$16)/1000</f>
        <v>0.00941812612193637</v>
      </c>
      <c r="H223" s="17" t="n">
        <f aca="false">E223*Допущения!$B$27</f>
        <v>1.32337864625076E-011</v>
      </c>
      <c r="I223" s="17" t="n">
        <f aca="false">F223*Допущения!$B$22/30*Допущения!$B$28</f>
        <v>0.00115943759904482</v>
      </c>
      <c r="J223" s="17" t="n">
        <f aca="false">G223*Допущения!$B$17+(H223+I223)*Допущения!$B$18</f>
        <v>0.00528878186710749</v>
      </c>
      <c r="K223" s="19" t="n">
        <f aca="false">K222+J223</f>
        <v>4.52087082433317</v>
      </c>
      <c r="L223" s="19" t="n">
        <f aca="false">L222+G223*Допущения!$B$17</f>
        <v>3.7205740257042</v>
      </c>
      <c r="M223" s="19" t="n">
        <f aca="false">M222+H223*Допущения!$B$18</f>
        <v>0.467499999940219</v>
      </c>
      <c r="N223" s="19" t="n">
        <f aca="false">N222+I223*Допущения!$B$18</f>
        <v>0.332796798688762</v>
      </c>
      <c r="O223" s="19" t="n">
        <f aca="false">O222+G223+H223+I223</f>
        <v>9.04174164866636</v>
      </c>
      <c r="P223" s="17" t="n">
        <f aca="false">P222+F223</f>
        <v>0.137412319360829</v>
      </c>
      <c r="Q223" s="6" t="n">
        <f aca="false">MIN(MATCH(A223,$S$3:$X$3,1),5)</f>
        <v>5</v>
      </c>
    </row>
    <row r="224" customFormat="false" ht="15" hidden="false" customHeight="false" outlineLevel="0" collapsed="false">
      <c r="A224" s="6" t="n">
        <v>217</v>
      </c>
      <c r="B224" s="14" t="n">
        <f aca="false">INDEX($S$4:$X$4,Q224)*(INDEX($S$4:$X$4,Q224+1)/INDEX($S$4:$X$4,Q224))^((LN(A224)-LN(INDEX($S$3:$X$3,Q224)))/(LN(INDEX($S$3:$X$3,Q224+1))-LN(INDEX($S$3:$X$3,Q224))))</f>
        <v>0.00952006064179618</v>
      </c>
      <c r="C224" s="33" t="n">
        <f aca="false">C223+B224</f>
        <v>7.57151835166097</v>
      </c>
      <c r="D224" s="36" t="n">
        <f aca="false">Допущения!$B$19*(1-EXP(-Допущения!$B$26*(A224+1)))</f>
        <v>0.00999999999884869</v>
      </c>
      <c r="E224" s="37" t="n">
        <f aca="false">D224-D223</f>
        <v>1.2743105182178E-013</v>
      </c>
      <c r="F224" s="37" t="n">
        <f aca="false">D224*MIN(1,B224*Допущения!$B$21)</f>
        <v>0.000238001516017503</v>
      </c>
      <c r="G224" s="17" t="n">
        <f aca="false">((B224-F224*Допущения!$B$23)*Допущения!$B$13*Допущения!$B$15+B224*Допущения!$B$14*Допущения!$B$16)/1000</f>
        <v>0.00936440765030429</v>
      </c>
      <c r="H224" s="17" t="n">
        <f aca="false">E224*Допущения!$B$27</f>
        <v>1.19148033453365E-011</v>
      </c>
      <c r="I224" s="17" t="n">
        <f aca="false">F224*Допущения!$B$22/30*Допущения!$B$28</f>
        <v>0.00115282447719568</v>
      </c>
      <c r="J224" s="17" t="n">
        <f aca="false">G224*Допущения!$B$17+(H224+I224)*Допущения!$B$18</f>
        <v>0.00525861606970739</v>
      </c>
      <c r="K224" s="19" t="n">
        <f aca="false">K223+J224</f>
        <v>4.52612944040288</v>
      </c>
      <c r="L224" s="19" t="n">
        <f aca="false">L223+G224*Допущения!$B$17</f>
        <v>3.72525622952935</v>
      </c>
      <c r="M224" s="19" t="n">
        <f aca="false">M223+H224*Допущения!$B$18</f>
        <v>0.467499999946177</v>
      </c>
      <c r="N224" s="19" t="n">
        <f aca="false">N223+I224*Допущения!$B$18</f>
        <v>0.33337321092736</v>
      </c>
      <c r="O224" s="19" t="n">
        <f aca="false">O223+G224+H224+I224</f>
        <v>9.05225888080577</v>
      </c>
      <c r="P224" s="17" t="n">
        <f aca="false">P223+F224</f>
        <v>0.137650320876847</v>
      </c>
      <c r="Q224" s="6" t="n">
        <f aca="false">MIN(MATCH(A224,$S$3:$X$3,1),5)</f>
        <v>5</v>
      </c>
    </row>
    <row r="225" customFormat="false" ht="15" hidden="false" customHeight="false" outlineLevel="0" collapsed="false">
      <c r="A225" s="6" t="n">
        <v>218</v>
      </c>
      <c r="B225" s="14" t="n">
        <f aca="false">INDEX($S$4:$X$4,Q225)*(INDEX($S$4:$X$4,Q225+1)/INDEX($S$4:$X$4,Q225))^((LN(A225)-LN(INDEX($S$3:$X$3,Q225)))/(LN(INDEX($S$3:$X$3,Q225+1))-LN(INDEX($S$3:$X$3,Q225))))</f>
        <v>0.00946600970836397</v>
      </c>
      <c r="C225" s="33" t="n">
        <f aca="false">C224+B225</f>
        <v>7.58098436136933</v>
      </c>
      <c r="D225" s="36" t="n">
        <f aca="false">Допущения!$B$19*(1-EXP(-Допущения!$B$26*(A225+1)))</f>
        <v>0.00999999999896343</v>
      </c>
      <c r="E225" s="37" t="n">
        <f aca="false">D225-D224</f>
        <v>1.1473287597763E-013</v>
      </c>
      <c r="F225" s="37" t="n">
        <f aca="false">D225*MIN(1,B225*Допущения!$B$21)</f>
        <v>0.000236650242684569</v>
      </c>
      <c r="G225" s="17" t="n">
        <f aca="false">((B225-F225*Допущения!$B$23)*Допущения!$B$13*Допущения!$B$15+B225*Допущения!$B$14*Допущения!$B$16)/1000</f>
        <v>0.00931124044963354</v>
      </c>
      <c r="H225" s="17" t="n">
        <f aca="false">E225*Допущения!$B$27</f>
        <v>1.07275239039084E-011</v>
      </c>
      <c r="I225" s="17" t="n">
        <f aca="false">F225*Допущения!$B$22/30*Допущения!$B$28</f>
        <v>0.00114627922067944</v>
      </c>
      <c r="J225" s="17" t="n">
        <f aca="false">G225*Допущения!$B$17+(H225+I225)*Допущения!$B$18</f>
        <v>0.00522875984052025</v>
      </c>
      <c r="K225" s="19" t="n">
        <f aca="false">K224+J225</f>
        <v>4.5313582002434</v>
      </c>
      <c r="L225" s="19" t="n">
        <f aca="false">L224+G225*Допущения!$B$17</f>
        <v>3.72991184975417</v>
      </c>
      <c r="M225" s="19" t="n">
        <f aca="false">M224+H225*Допущения!$B$18</f>
        <v>0.467499999951541</v>
      </c>
      <c r="N225" s="19" t="n">
        <f aca="false">N224+I225*Допущения!$B$18</f>
        <v>0.333946350537699</v>
      </c>
      <c r="O225" s="19" t="n">
        <f aca="false">O224+G225+H225+I225</f>
        <v>9.06271640048681</v>
      </c>
      <c r="P225" s="17" t="n">
        <f aca="false">P224+F225</f>
        <v>0.137886971119531</v>
      </c>
      <c r="Q225" s="6" t="n">
        <f aca="false">MIN(MATCH(A225,$S$3:$X$3,1),5)</f>
        <v>5</v>
      </c>
    </row>
    <row r="226" customFormat="false" ht="15" hidden="false" customHeight="false" outlineLevel="0" collapsed="false">
      <c r="A226" s="6" t="n">
        <v>219</v>
      </c>
      <c r="B226" s="14" t="n">
        <f aca="false">INDEX($S$4:$X$4,Q226)*(INDEX($S$4:$X$4,Q226+1)/INDEX($S$4:$X$4,Q226))^((LN(A226)-LN(INDEX($S$3:$X$3,Q226)))/(LN(INDEX($S$3:$X$3,Q226+1))-LN(INDEX($S$3:$X$3,Q226))))</f>
        <v>0.00941251092627701</v>
      </c>
      <c r="C226" s="33" t="n">
        <f aca="false">C225+B226</f>
        <v>7.59039687229561</v>
      </c>
      <c r="D226" s="36" t="n">
        <f aca="false">Допущения!$B$19*(1-EXP(-Допущения!$B$26*(A226+1)))</f>
        <v>0.00999999999906673</v>
      </c>
      <c r="E226" s="37" t="n">
        <f aca="false">D226-D225</f>
        <v>1.03299313547467E-013</v>
      </c>
      <c r="F226" s="37" t="n">
        <f aca="false">D226*MIN(1,B226*Допущения!$B$21)</f>
        <v>0.000235312773134964</v>
      </c>
      <c r="G226" s="17" t="n">
        <f aca="false">((B226-F226*Допущения!$B$23)*Допущения!$B$13*Допущения!$B$15+B226*Допущения!$B$14*Допущения!$B$16)/1000</f>
        <v>0.00925861637263356</v>
      </c>
      <c r="H226" s="17" t="n">
        <f aca="false">E226*Допущения!$B$27</f>
        <v>9.65848581668816E-012</v>
      </c>
      <c r="I226" s="17" t="n">
        <f aca="false">F226*Допущения!$B$22/30*Допущения!$B$28</f>
        <v>0.00113980082650747</v>
      </c>
      <c r="J226" s="17" t="n">
        <f aca="false">G226*Допущения!$B$17+(H226+I226)*Допущения!$B$18</f>
        <v>0.00519920860439976</v>
      </c>
      <c r="K226" s="19" t="n">
        <f aca="false">K225+J226</f>
        <v>4.5365574088478</v>
      </c>
      <c r="L226" s="19" t="n">
        <f aca="false">L225+G226*Допущения!$B$17</f>
        <v>3.73454115794049</v>
      </c>
      <c r="M226" s="19" t="n">
        <f aca="false">M225+H226*Допущения!$B$18</f>
        <v>0.46749999995637</v>
      </c>
      <c r="N226" s="19" t="n">
        <f aca="false">N225+I226*Допущения!$B$18</f>
        <v>0.334516250950953</v>
      </c>
      <c r="O226" s="19" t="n">
        <f aca="false">O225+G226+H226+I226</f>
        <v>9.07311481769561</v>
      </c>
      <c r="P226" s="17" t="n">
        <f aca="false">P225+F226</f>
        <v>0.138122283892666</v>
      </c>
      <c r="Q226" s="6" t="n">
        <f aca="false">MIN(MATCH(A226,$S$3:$X$3,1),5)</f>
        <v>5</v>
      </c>
    </row>
    <row r="227" customFormat="false" ht="15" hidden="false" customHeight="false" outlineLevel="0" collapsed="false">
      <c r="A227" s="6" t="n">
        <v>220</v>
      </c>
      <c r="B227" s="14" t="n">
        <f aca="false">INDEX($S$4:$X$4,Q227)*(INDEX($S$4:$X$4,Q227+1)/INDEX($S$4:$X$4,Q227))^((LN(A227)-LN(INDEX($S$3:$X$3,Q227)))/(LN(INDEX($S$3:$X$3,Q227+1))-LN(INDEX($S$3:$X$3,Q227))))</f>
        <v>0.00935955617230553</v>
      </c>
      <c r="C227" s="33" t="n">
        <f aca="false">C226+B227</f>
        <v>7.59975642846792</v>
      </c>
      <c r="D227" s="36" t="n">
        <f aca="false">Допущения!$B$19*(1-EXP(-Допущения!$B$26*(A227+1)))</f>
        <v>0.00999999999915973</v>
      </c>
      <c r="E227" s="37" t="n">
        <f aca="false">D227-D226</f>
        <v>9.30071991644965E-014</v>
      </c>
      <c r="F227" s="37" t="n">
        <f aca="false">D227*MIN(1,B227*Допущения!$B$21)</f>
        <v>0.000233988904287977</v>
      </c>
      <c r="G227" s="17" t="n">
        <f aca="false">((B227-F227*Допущения!$B$23)*Допущения!$B$13*Допущения!$B$15+B227*Допущения!$B$14*Допущения!$B$16)/1000</f>
        <v>0.0092065274288894</v>
      </c>
      <c r="H227" s="17" t="n">
        <f aca="false">E227*Допущения!$B$27</f>
        <v>8.69617312188042E-012</v>
      </c>
      <c r="I227" s="17" t="n">
        <f aca="false">F227*Допущения!$B$22/30*Допущения!$B$28</f>
        <v>0.00113338831100362</v>
      </c>
      <c r="J227" s="17" t="n">
        <f aca="false">G227*Допущения!$B$17+(H227+I227)*Допущения!$B$18</f>
        <v>0.00516995787429459</v>
      </c>
      <c r="K227" s="19" t="n">
        <f aca="false">K226+J227</f>
        <v>4.5417273667221</v>
      </c>
      <c r="L227" s="19" t="n">
        <f aca="false">L226+G227*Допущения!$B$17</f>
        <v>3.73914442165493</v>
      </c>
      <c r="M227" s="19" t="n">
        <f aca="false">M226+H227*Допущения!$B$18</f>
        <v>0.467499999960718</v>
      </c>
      <c r="N227" s="19" t="n">
        <f aca="false">N226+I227*Допущения!$B$18</f>
        <v>0.335082945106455</v>
      </c>
      <c r="O227" s="19" t="n">
        <f aca="false">O226+G227+H227+I227</f>
        <v>9.0834547334442</v>
      </c>
      <c r="P227" s="17" t="n">
        <f aca="false">P226+F227</f>
        <v>0.138356272796954</v>
      </c>
      <c r="Q227" s="6" t="n">
        <f aca="false">MIN(MATCH(A227,$S$3:$X$3,1),5)</f>
        <v>5</v>
      </c>
    </row>
    <row r="228" customFormat="false" ht="15" hidden="false" customHeight="false" outlineLevel="0" collapsed="false">
      <c r="A228" s="6" t="n">
        <v>221</v>
      </c>
      <c r="B228" s="14" t="n">
        <f aca="false">INDEX($S$4:$X$4,Q228)*(INDEX($S$4:$X$4,Q228+1)/INDEX($S$4:$X$4,Q228))^((LN(A228)-LN(INDEX($S$3:$X$3,Q228)))/(LN(INDEX($S$3:$X$3,Q228+1))-LN(INDEX($S$3:$X$3,Q228))))</f>
        <v>0.00930713747892472</v>
      </c>
      <c r="C228" s="33" t="n">
        <f aca="false">C227+B228</f>
        <v>7.60906356594684</v>
      </c>
      <c r="D228" s="36" t="n">
        <f aca="false">Допущения!$B$19*(1-EXP(-Допущения!$B$26*(A228+1)))</f>
        <v>0.00999999999924347</v>
      </c>
      <c r="E228" s="37" t="n">
        <f aca="false">D228-D227</f>
        <v>8.37351021854005E-014</v>
      </c>
      <c r="F228" s="37" t="n">
        <f aca="false">D228*MIN(1,B228*Допущения!$B$21)</f>
        <v>0.000232678436955515</v>
      </c>
      <c r="G228" s="17" t="n">
        <f aca="false">((B228-F228*Допущения!$B$23)*Допущения!$B$13*Допущения!$B$15+B228*Допущения!$B$14*Допущения!$B$16)/1000</f>
        <v>0.00915496578114525</v>
      </c>
      <c r="H228" s="17" t="n">
        <f aca="false">E228*Допущения!$B$27</f>
        <v>7.82923205433495E-012</v>
      </c>
      <c r="I228" s="17" t="n">
        <f aca="false">F228*Допущения!$B$22/30*Допущения!$B$28</f>
        <v>0.00112704070934667</v>
      </c>
      <c r="J228" s="17" t="n">
        <f aca="false">G228*Допущения!$B$17+(H228+I228)*Допущения!$B$18</f>
        <v>0.00514100324916058</v>
      </c>
      <c r="K228" s="19" t="n">
        <f aca="false">K227+J228</f>
        <v>4.54686836997126</v>
      </c>
      <c r="L228" s="19" t="n">
        <f aca="false">L227+G228*Допущения!$B$17</f>
        <v>3.7437219045455</v>
      </c>
      <c r="M228" s="19" t="n">
        <f aca="false">M227+H228*Допущения!$B$18</f>
        <v>0.467499999964633</v>
      </c>
      <c r="N228" s="19" t="n">
        <f aca="false">N227+I228*Допущения!$B$18</f>
        <v>0.335646465461128</v>
      </c>
      <c r="O228" s="19" t="n">
        <f aca="false">O227+G228+H228+I228</f>
        <v>9.09373673994252</v>
      </c>
      <c r="P228" s="17" t="n">
        <f aca="false">P227+F228</f>
        <v>0.13858895123391</v>
      </c>
      <c r="Q228" s="6" t="n">
        <f aca="false">MIN(MATCH(A228,$S$3:$X$3,1),5)</f>
        <v>5</v>
      </c>
    </row>
    <row r="229" customFormat="false" ht="15" hidden="false" customHeight="false" outlineLevel="0" collapsed="false">
      <c r="A229" s="6" t="n">
        <v>222</v>
      </c>
      <c r="B229" s="14" t="n">
        <f aca="false">INDEX($S$4:$X$4,Q229)*(INDEX($S$4:$X$4,Q229+1)/INDEX($S$4:$X$4,Q229))^((LN(A229)-LN(INDEX($S$3:$X$3,Q229)))/(LN(INDEX($S$3:$X$3,Q229+1))-LN(INDEX($S$3:$X$3,Q229))))</f>
        <v>0.00925524703064255</v>
      </c>
      <c r="C229" s="33" t="n">
        <f aca="false">C228+B229</f>
        <v>7.61831881297748</v>
      </c>
      <c r="D229" s="36" t="n">
        <f aca="false">Допущения!$B$19*(1-EXP(-Допущения!$B$26*(A229+1)))</f>
        <v>0.00999999999931886</v>
      </c>
      <c r="E229" s="37" t="n">
        <f aca="false">D229-D228</f>
        <v>7.5392816989428E-014</v>
      </c>
      <c r="F229" s="37" t="n">
        <f aca="false">D229*MIN(1,B229*Допущения!$B$21)</f>
        <v>0.000231381175750303</v>
      </c>
      <c r="G229" s="17" t="n">
        <f aca="false">((B229-F229*Допущения!$B$23)*Допущения!$B$13*Допущения!$B$15+B229*Допущения!$B$14*Допущения!$B$16)/1000</f>
        <v>0.00910392374169239</v>
      </c>
      <c r="H229" s="17" t="n">
        <f aca="false">E229*Допущения!$B$27</f>
        <v>7.04922838851152E-012</v>
      </c>
      <c r="I229" s="17" t="n">
        <f aca="false">F229*Допущения!$B$22/30*Допущения!$B$28</f>
        <v>0.00112075707512573</v>
      </c>
      <c r="J229" s="17" t="n">
        <f aca="false">G229*Допущения!$B$17+(H229+I229)*Допущения!$B$18</f>
        <v>0.00511234041193368</v>
      </c>
      <c r="K229" s="19" t="n">
        <f aca="false">K228+J229</f>
        <v>4.55198071038319</v>
      </c>
      <c r="L229" s="19" t="n">
        <f aca="false">L228+G229*Допущения!$B$17</f>
        <v>3.74827386641635</v>
      </c>
      <c r="M229" s="19" t="n">
        <f aca="false">M228+H229*Допущения!$B$18</f>
        <v>0.467499999968157</v>
      </c>
      <c r="N229" s="19" t="n">
        <f aca="false">N228+I229*Допущения!$B$18</f>
        <v>0.336206843998691</v>
      </c>
      <c r="O229" s="19" t="n">
        <f aca="false">O228+G229+H229+I229</f>
        <v>9.10396142076639</v>
      </c>
      <c r="P229" s="17" t="n">
        <f aca="false">P228+F229</f>
        <v>0.13882033240966</v>
      </c>
      <c r="Q229" s="6" t="n">
        <f aca="false">MIN(MATCH(A229,$S$3:$X$3,1),5)</f>
        <v>5</v>
      </c>
    </row>
    <row r="230" customFormat="false" ht="15" hidden="false" customHeight="false" outlineLevel="0" collapsed="false">
      <c r="A230" s="6" t="n">
        <v>223</v>
      </c>
      <c r="B230" s="14" t="n">
        <f aca="false">INDEX($S$4:$X$4,Q230)*(INDEX($S$4:$X$4,Q230+1)/INDEX($S$4:$X$4,Q230))^((LN(A230)-LN(INDEX($S$3:$X$3,Q230)))/(LN(INDEX($S$3:$X$3,Q230+1))-LN(INDEX($S$3:$X$3,Q230))))</f>
        <v>0.00920387716043047</v>
      </c>
      <c r="C230" s="33" t="n">
        <f aca="false">C229+B230</f>
        <v>7.62752269013792</v>
      </c>
      <c r="D230" s="36" t="n">
        <f aca="false">Допущения!$B$19*(1-EXP(-Допущения!$B$26*(A230+1)))</f>
        <v>0.00999999999938674</v>
      </c>
      <c r="E230" s="37" t="n">
        <f aca="false">D230-D229</f>
        <v>6.78779948914965E-014</v>
      </c>
      <c r="F230" s="37" t="n">
        <f aca="false">D230*MIN(1,B230*Допущения!$B$21)</f>
        <v>0.000230096928996651</v>
      </c>
      <c r="G230" s="17" t="n">
        <f aca="false">((B230-F230*Допущения!$B$23)*Допущения!$B$13*Допущения!$B$15+B230*Допущения!$B$14*Допущения!$B$16)/1000</f>
        <v>0.00905339376885819</v>
      </c>
      <c r="H230" s="17" t="n">
        <f aca="false">E230*Допущения!$B$27</f>
        <v>6.34659252235492E-012</v>
      </c>
      <c r="I230" s="17" t="n">
        <f aca="false">F230*Допущения!$B$22/30*Допущения!$B$28</f>
        <v>0.00111453647990792</v>
      </c>
      <c r="J230" s="17" t="n">
        <f aca="false">G230*Допущения!$B$17+(H230+I230)*Допущения!$B$18</f>
        <v>0.00508396512755635</v>
      </c>
      <c r="K230" s="19" t="n">
        <f aca="false">K229+J230</f>
        <v>4.55706467551075</v>
      </c>
      <c r="L230" s="19" t="n">
        <f aca="false">L229+G230*Допущения!$B$17</f>
        <v>3.75280056330078</v>
      </c>
      <c r="M230" s="19" t="n">
        <f aca="false">M229+H230*Допущения!$B$18</f>
        <v>0.46749999997133</v>
      </c>
      <c r="N230" s="19" t="n">
        <f aca="false">N229+I230*Допущения!$B$18</f>
        <v>0.336764112238645</v>
      </c>
      <c r="O230" s="19" t="n">
        <f aca="false">O229+G230+H230+I230</f>
        <v>9.11412935102151</v>
      </c>
      <c r="P230" s="17" t="n">
        <f aca="false">P229+F230</f>
        <v>0.139050429338657</v>
      </c>
      <c r="Q230" s="6" t="n">
        <f aca="false">MIN(MATCH(A230,$S$3:$X$3,1),5)</f>
        <v>5</v>
      </c>
    </row>
    <row r="231" customFormat="false" ht="15" hidden="false" customHeight="false" outlineLevel="0" collapsed="false">
      <c r="A231" s="6" t="n">
        <v>224</v>
      </c>
      <c r="B231" s="14" t="n">
        <f aca="false">INDEX($S$4:$X$4,Q231)*(INDEX($S$4:$X$4,Q231+1)/INDEX($S$4:$X$4,Q231))^((LN(A231)-LN(INDEX($S$3:$X$3,Q231)))/(LN(INDEX($S$3:$X$3,Q231+1))-LN(INDEX($S$3:$X$3,Q231))))</f>
        <v>0.0091530203462533</v>
      </c>
      <c r="C231" s="33" t="n">
        <f aca="false">C230+B231</f>
        <v>7.63667571048417</v>
      </c>
      <c r="D231" s="36" t="n">
        <f aca="false">Допущения!$B$19*(1-EXP(-Допущения!$B$26*(A231+1)))</f>
        <v>0.00999999999944785</v>
      </c>
      <c r="E231" s="37" t="n">
        <f aca="false">D231-D230</f>
        <v>6.11143080586629E-014</v>
      </c>
      <c r="F231" s="37" t="n">
        <f aca="false">D231*MIN(1,B231*Допущения!$B$21)</f>
        <v>0.000228825508643698</v>
      </c>
      <c r="G231" s="17" t="n">
        <f aca="false">((B231-F231*Допущения!$B$23)*Допущения!$B$13*Допущения!$B$15+B231*Допущения!$B$14*Допущения!$B$16)/1000</f>
        <v>0.00900336846359274</v>
      </c>
      <c r="H231" s="17" t="n">
        <f aca="false">E231*Допущения!$B$27</f>
        <v>5.71418780348498E-012</v>
      </c>
      <c r="I231" s="17" t="n">
        <f aca="false">F231*Допущения!$B$22/30*Допущения!$B$28</f>
        <v>0.00110837801281824</v>
      </c>
      <c r="J231" s="17" t="n">
        <f aca="false">G231*Допущения!$B$17+(H231+I231)*Допущения!$B$18</f>
        <v>0.00505587324106258</v>
      </c>
      <c r="K231" s="19" t="n">
        <f aca="false">K230+J231</f>
        <v>4.56212054875181</v>
      </c>
      <c r="L231" s="19" t="n">
        <f aca="false">L230+G231*Допущения!$B$17</f>
        <v>3.75730224753258</v>
      </c>
      <c r="M231" s="19" t="n">
        <f aca="false">M230+H231*Допущения!$B$18</f>
        <v>0.467499999974188</v>
      </c>
      <c r="N231" s="19" t="n">
        <f aca="false">N230+I231*Допущения!$B$18</f>
        <v>0.337318301245054</v>
      </c>
      <c r="O231" s="19" t="n">
        <f aca="false">O230+G231+H231+I231</f>
        <v>9.12424109750363</v>
      </c>
      <c r="P231" s="17" t="n">
        <f aca="false">P230+F231</f>
        <v>0.1392792548473</v>
      </c>
      <c r="Q231" s="6" t="n">
        <f aca="false">MIN(MATCH(A231,$S$3:$X$3,1),5)</f>
        <v>5</v>
      </c>
    </row>
    <row r="232" customFormat="false" ht="15" hidden="false" customHeight="false" outlineLevel="0" collapsed="false">
      <c r="A232" s="6" t="n">
        <v>225</v>
      </c>
      <c r="B232" s="14" t="n">
        <f aca="false">INDEX($S$4:$X$4,Q232)*(INDEX($S$4:$X$4,Q232+1)/INDEX($S$4:$X$4,Q232))^((LN(A232)-LN(INDEX($S$3:$X$3,Q232)))/(LN(INDEX($S$3:$X$3,Q232+1))-LN(INDEX($S$3:$X$3,Q232))))</f>
        <v>0.00910266920769528</v>
      </c>
      <c r="C232" s="33" t="n">
        <f aca="false">C231+B232</f>
        <v>7.64577837969186</v>
      </c>
      <c r="D232" s="36" t="n">
        <f aca="false">Допущения!$B$19*(1-EXP(-Допущения!$B$26*(A232+1)))</f>
        <v>0.00999999999950288</v>
      </c>
      <c r="E232" s="37" t="n">
        <f aca="false">D232-D231</f>
        <v>5.50236939345083E-014</v>
      </c>
      <c r="F232" s="37" t="n">
        <f aca="false">D232*MIN(1,B232*Допущения!$B$21)</f>
        <v>0.000227566730181069</v>
      </c>
      <c r="G232" s="17" t="n">
        <f aca="false">((B232-F232*Допущения!$B$23)*Допущения!$B$13*Допущения!$B$15+B232*Допущения!$B$14*Допущения!$B$16)/1000</f>
        <v>0.00895384056615007</v>
      </c>
      <c r="H232" s="17" t="n">
        <f aca="false">E232*Допущения!$B$27</f>
        <v>5.14471538287653E-012</v>
      </c>
      <c r="I232" s="17" t="n">
        <f aca="false">F232*Допущения!$B$22/30*Допущения!$B$28</f>
        <v>0.00110228078013095</v>
      </c>
      <c r="J232" s="17" t="n">
        <f aca="false">G232*Допущения!$B$17+(H232+I232)*Допущения!$B$18</f>
        <v>0.00502806067571287</v>
      </c>
      <c r="K232" s="19" t="n">
        <f aca="false">K231+J232</f>
        <v>4.56714860942752</v>
      </c>
      <c r="L232" s="19" t="n">
        <f aca="false">L231+G232*Допущения!$B$17</f>
        <v>3.76177916781565</v>
      </c>
      <c r="M232" s="19" t="n">
        <f aca="false">M231+H232*Допущения!$B$18</f>
        <v>0.46749999997676</v>
      </c>
      <c r="N232" s="19" t="n">
        <f aca="false">N231+I232*Допущения!$B$18</f>
        <v>0.33786944163512</v>
      </c>
      <c r="O232" s="19" t="n">
        <f aca="false">O231+G232+H232+I232</f>
        <v>9.13429721885506</v>
      </c>
      <c r="P232" s="17" t="n">
        <f aca="false">P231+F232</f>
        <v>0.139506821577481</v>
      </c>
      <c r="Q232" s="6" t="n">
        <f aca="false">MIN(MATCH(A232,$S$3:$X$3,1),5)</f>
        <v>5</v>
      </c>
    </row>
    <row r="233" customFormat="false" ht="15" hidden="false" customHeight="false" outlineLevel="0" collapsed="false">
      <c r="A233" s="6" t="n">
        <v>226</v>
      </c>
      <c r="B233" s="14" t="n">
        <f aca="false">INDEX($S$4:$X$4,Q233)*(INDEX($S$4:$X$4,Q233+1)/INDEX($S$4:$X$4,Q233))^((LN(A233)-LN(INDEX($S$3:$X$3,Q233)))/(LN(INDEX($S$3:$X$3,Q233+1))-LN(INDEX($S$3:$X$3,Q233))))</f>
        <v>0.00905281650267934</v>
      </c>
      <c r="C233" s="33" t="n">
        <f aca="false">C232+B233</f>
        <v>7.65483119619454</v>
      </c>
      <c r="D233" s="36" t="n">
        <f aca="false">Допущения!$B$19*(1-EXP(-Допущения!$B$26*(A233+1)))</f>
        <v>0.00999999999955242</v>
      </c>
      <c r="E233" s="37" t="n">
        <f aca="false">D233-D232</f>
        <v>4.95419677504216E-014</v>
      </c>
      <c r="F233" s="37" t="n">
        <f aca="false">D233*MIN(1,B233*Допущения!$B$21)</f>
        <v>0.000226320412556854</v>
      </c>
      <c r="G233" s="17" t="n">
        <f aca="false">((B233-F233*Допущения!$B$23)*Допущения!$B$13*Допущения!$B$15+B233*Допущения!$B$14*Допущения!$B$16)/1000</f>
        <v>0.00890480295286108</v>
      </c>
      <c r="H233" s="17" t="n">
        <f aca="false">E233*Допущения!$B$27</f>
        <v>4.63217398466442E-012</v>
      </c>
      <c r="I233" s="17" t="n">
        <f aca="false">F233*Допущения!$B$22/30*Допущения!$B$28</f>
        <v>0.00109624390487235</v>
      </c>
      <c r="J233" s="17" t="n">
        <f aca="false">G233*Допущения!$B$17+(H233+I233)*Допущения!$B$18</f>
        <v>0.0050005234311828</v>
      </c>
      <c r="K233" s="19" t="n">
        <f aca="false">K232+J233</f>
        <v>4.5721491328587</v>
      </c>
      <c r="L233" s="19" t="n">
        <f aca="false">L232+G233*Допущения!$B$17</f>
        <v>3.76623156929208</v>
      </c>
      <c r="M233" s="19" t="n">
        <f aca="false">M232+H233*Допущения!$B$18</f>
        <v>0.467499999979076</v>
      </c>
      <c r="N233" s="19" t="n">
        <f aca="false">N232+I233*Допущения!$B$18</f>
        <v>0.338417563587556</v>
      </c>
      <c r="O233" s="19" t="n">
        <f aca="false">O232+G233+H233+I233</f>
        <v>9.14429826571742</v>
      </c>
      <c r="P233" s="17" t="n">
        <f aca="false">P232+F233</f>
        <v>0.139733141990038</v>
      </c>
      <c r="Q233" s="6" t="n">
        <f aca="false">MIN(MATCH(A233,$S$3:$X$3,1),5)</f>
        <v>5</v>
      </c>
    </row>
    <row r="234" customFormat="false" ht="15" hidden="false" customHeight="false" outlineLevel="0" collapsed="false">
      <c r="A234" s="6" t="n">
        <v>227</v>
      </c>
      <c r="B234" s="14" t="n">
        <f aca="false">INDEX($S$4:$X$4,Q234)*(INDEX($S$4:$X$4,Q234+1)/INDEX($S$4:$X$4,Q234))^((LN(A234)-LN(INDEX($S$3:$X$3,Q234)))/(LN(INDEX($S$3:$X$3,Q234+1))-LN(INDEX($S$3:$X$3,Q234))))</f>
        <v>0.00900345512427634</v>
      </c>
      <c r="C234" s="33" t="n">
        <f aca="false">C233+B234</f>
        <v>7.66383465131882</v>
      </c>
      <c r="D234" s="36" t="n">
        <f aca="false">Допущения!$B$19*(1-EXP(-Допущения!$B$26*(A234+1)))</f>
        <v>0.00999999999959702</v>
      </c>
      <c r="E234" s="37" t="n">
        <f aca="false">D234-D233</f>
        <v>4.46032100143157E-014</v>
      </c>
      <c r="F234" s="37" t="n">
        <f aca="false">D234*MIN(1,B234*Допущения!$B$21)</f>
        <v>0.000225086378097838</v>
      </c>
      <c r="G234" s="17" t="n">
        <f aca="false">((B234-F234*Допущения!$B$23)*Допущения!$B$13*Допущения!$B$15+B234*Допущения!$B$14*Допущения!$B$16)/1000</f>
        <v>0.00885624863299491</v>
      </c>
      <c r="H234" s="17" t="n">
        <f aca="false">E234*Допущения!$B$27</f>
        <v>4.17040013633851E-012</v>
      </c>
      <c r="I234" s="17" t="n">
        <f aca="false">F234*Допущения!$B$22/30*Допущения!$B$28</f>
        <v>0.00109026652643434</v>
      </c>
      <c r="J234" s="17" t="n">
        <f aca="false">G234*Допущения!$B$17+(H234+I234)*Допущения!$B$18</f>
        <v>0.00497325758179983</v>
      </c>
      <c r="K234" s="19" t="n">
        <f aca="false">K233+J234</f>
        <v>4.5771223904405</v>
      </c>
      <c r="L234" s="19" t="n">
        <f aca="false">L233+G234*Допущения!$B$17</f>
        <v>3.77065969360858</v>
      </c>
      <c r="M234" s="19" t="n">
        <f aca="false">M233+H234*Допущения!$B$18</f>
        <v>0.467499999981161</v>
      </c>
      <c r="N234" s="19" t="n">
        <f aca="false">N233+I234*Допущения!$B$18</f>
        <v>0.338962696850773</v>
      </c>
      <c r="O234" s="19" t="n">
        <f aca="false">O233+G234+H234+I234</f>
        <v>9.15424478088102</v>
      </c>
      <c r="P234" s="17" t="n">
        <f aca="false">P233+F234</f>
        <v>0.139958228368136</v>
      </c>
      <c r="Q234" s="6" t="n">
        <f aca="false">MIN(MATCH(A234,$S$3:$X$3,1),5)</f>
        <v>5</v>
      </c>
    </row>
    <row r="235" customFormat="false" ht="15" hidden="false" customHeight="false" outlineLevel="0" collapsed="false">
      <c r="A235" s="6" t="n">
        <v>228</v>
      </c>
      <c r="B235" s="14" t="n">
        <f aca="false">INDEX($S$4:$X$4,Q235)*(INDEX($S$4:$X$4,Q235+1)/INDEX($S$4:$X$4,Q235))^((LN(A235)-LN(INDEX($S$3:$X$3,Q235)))/(LN(INDEX($S$3:$X$3,Q235+1))-LN(INDEX($S$3:$X$3,Q235))))</f>
        <v>0.00895457809760162</v>
      </c>
      <c r="C235" s="33" t="n">
        <f aca="false">C234+B235</f>
        <v>7.67278922941642</v>
      </c>
      <c r="D235" s="36" t="n">
        <f aca="false">Допущения!$B$19*(1-EXP(-Допущения!$B$26*(A235+1)))</f>
        <v>0.00999999999963718</v>
      </c>
      <c r="E235" s="37" t="n">
        <f aca="false">D235-D234</f>
        <v>4.01588484688631E-014</v>
      </c>
      <c r="F235" s="37" t="n">
        <f aca="false">D235*MIN(1,B235*Допущения!$B$21)</f>
        <v>0.000223864452431918</v>
      </c>
      <c r="G235" s="17" t="n">
        <f aca="false">((B235-F235*Допущения!$B$23)*Допущения!$B$13*Допущения!$B$15+B235*Допущения!$B$14*Допущения!$B$16)/1000</f>
        <v>0.00880817074570627</v>
      </c>
      <c r="H235" s="17" t="n">
        <f aca="false">E235*Допущения!$B$27</f>
        <v>3.7548523318387E-012</v>
      </c>
      <c r="I235" s="17" t="n">
        <f aca="false">F235*Допущения!$B$22/30*Допущения!$B$28</f>
        <v>0.00108434780019865</v>
      </c>
      <c r="J235" s="17" t="n">
        <f aca="false">G235*Допущения!$B$17+(H235+I235)*Допущения!$B$18</f>
        <v>0.00494625927482989</v>
      </c>
      <c r="K235" s="19" t="n">
        <f aca="false">K234+J235</f>
        <v>4.58206864971533</v>
      </c>
      <c r="L235" s="19" t="n">
        <f aca="false">L234+G235*Допущения!$B$17</f>
        <v>3.77506377898143</v>
      </c>
      <c r="M235" s="19" t="n">
        <f aca="false">M234+H235*Допущения!$B$18</f>
        <v>0.467499999983039</v>
      </c>
      <c r="N235" s="19" t="n">
        <f aca="false">N234+I235*Допущения!$B$18</f>
        <v>0.339504870750872</v>
      </c>
      <c r="O235" s="19" t="n">
        <f aca="false">O234+G235+H235+I235</f>
        <v>9.16413729943068</v>
      </c>
      <c r="P235" s="17" t="n">
        <f aca="false">P234+F235</f>
        <v>0.140182092820568</v>
      </c>
      <c r="Q235" s="6" t="n">
        <f aca="false">MIN(MATCH(A235,$S$3:$X$3,1),5)</f>
        <v>5</v>
      </c>
    </row>
    <row r="236" customFormat="false" ht="15" hidden="false" customHeight="false" outlineLevel="0" collapsed="false">
      <c r="A236" s="6" t="n">
        <v>229</v>
      </c>
      <c r="B236" s="14" t="n">
        <f aca="false">INDEX($S$4:$X$4,Q236)*(INDEX($S$4:$X$4,Q236+1)/INDEX($S$4:$X$4,Q236))^((LN(A236)-LN(INDEX($S$3:$X$3,Q236)))/(LN(INDEX($S$3:$X$3,Q236+1))-LN(INDEX($S$3:$X$3,Q236))))</f>
        <v>0.00890617857679607</v>
      </c>
      <c r="C236" s="33" t="n">
        <f aca="false">C235+B236</f>
        <v>7.68169540799322</v>
      </c>
      <c r="D236" s="36" t="n">
        <f aca="false">Допущения!$B$19*(1-EXP(-Допущения!$B$26*(A236+1)))</f>
        <v>0.00999999999967334</v>
      </c>
      <c r="E236" s="37" t="n">
        <f aca="false">D236-D235</f>
        <v>3.61568414097846E-014</v>
      </c>
      <c r="F236" s="37" t="n">
        <f aca="false">D236*MIN(1,B236*Допущения!$B$21)</f>
        <v>0.000222654464412628</v>
      </c>
      <c r="G236" s="17" t="n">
        <f aca="false">((B236-F236*Допущения!$B$23)*Допущения!$B$13*Допущения!$B$15+B236*Допущения!$B$14*Допущения!$B$16)/1000</f>
        <v>0.00876056255706585</v>
      </c>
      <c r="H236" s="17" t="n">
        <f aca="false">E236*Допущения!$B$27</f>
        <v>3.38066467181486E-012</v>
      </c>
      <c r="I236" s="17" t="n">
        <f aca="false">F236*Допущения!$B$22/30*Допущения!$B$28</f>
        <v>0.00107848689717126</v>
      </c>
      <c r="J236" s="17" t="n">
        <f aca="false">G236*Допущения!$B$17+(H236+I236)*Допущения!$B$18</f>
        <v>0.00491952472880889</v>
      </c>
      <c r="K236" s="19" t="n">
        <f aca="false">K235+J236</f>
        <v>4.58698817444414</v>
      </c>
      <c r="L236" s="19" t="n">
        <f aca="false">L235+G236*Допущения!$B$17</f>
        <v>3.77944406025996</v>
      </c>
      <c r="M236" s="19" t="n">
        <f aca="false">M235+H236*Допущения!$B$18</f>
        <v>0.467499999984729</v>
      </c>
      <c r="N236" s="19" t="n">
        <f aca="false">N235+I236*Допущения!$B$18</f>
        <v>0.340044114199458</v>
      </c>
      <c r="O236" s="19" t="n">
        <f aca="false">O235+G236+H236+I236</f>
        <v>9.1739763488883</v>
      </c>
      <c r="P236" s="17" t="n">
        <f aca="false">P235+F236</f>
        <v>0.140404747284981</v>
      </c>
      <c r="Q236" s="6" t="n">
        <f aca="false">MIN(MATCH(A236,$S$3:$X$3,1),5)</f>
        <v>5</v>
      </c>
    </row>
    <row r="237" customFormat="false" ht="15" hidden="false" customHeight="false" outlineLevel="0" collapsed="false">
      <c r="A237" s="6" t="n">
        <v>230</v>
      </c>
      <c r="B237" s="14" t="n">
        <f aca="false">INDEX($S$4:$X$4,Q237)*(INDEX($S$4:$X$4,Q237+1)/INDEX($S$4:$X$4,Q237))^((LN(A237)-LN(INDEX($S$3:$X$3,Q237)))/(LN(INDEX($S$3:$X$3,Q237+1))-LN(INDEX($S$3:$X$3,Q237))))</f>
        <v>0.00885824984208903</v>
      </c>
      <c r="C237" s="33" t="n">
        <f aca="false">C236+B237</f>
        <v>7.69055365783531</v>
      </c>
      <c r="D237" s="36" t="n">
        <f aca="false">Допущения!$B$19*(1-EXP(-Допущения!$B$26*(A237+1)))</f>
        <v>0.00999999999970589</v>
      </c>
      <c r="E237" s="37" t="n">
        <f aca="false">D237-D236</f>
        <v>3.25538207501808E-014</v>
      </c>
      <c r="F237" s="37" t="n">
        <f aca="false">D237*MIN(1,B237*Допущения!$B$21)</f>
        <v>0.000221456246045712</v>
      </c>
      <c r="G237" s="17" t="n">
        <f aca="false">((B237-F237*Допущения!$B$23)*Допущения!$B$13*Допущения!$B$15+B237*Допущения!$B$14*Допущения!$B$16)/1000</f>
        <v>0.00871341745717122</v>
      </c>
      <c r="H237" s="17" t="n">
        <f aca="false">E237*Допущения!$B$27</f>
        <v>3.0437822401419E-012</v>
      </c>
      <c r="I237" s="17" t="n">
        <f aca="false">F237*Допущения!$B$22/30*Допущения!$B$28</f>
        <v>0.00107268300362672</v>
      </c>
      <c r="J237" s="17" t="n">
        <f aca="false">G237*Допущения!$B$17+(H237+I237)*Допущения!$B$18</f>
        <v>0.00489305023192086</v>
      </c>
      <c r="K237" s="19" t="n">
        <f aca="false">K236+J237</f>
        <v>4.59188122467606</v>
      </c>
      <c r="L237" s="19" t="n">
        <f aca="false">L236+G237*Допущения!$B$17</f>
        <v>3.78380076898855</v>
      </c>
      <c r="M237" s="19" t="n">
        <f aca="false">M236+H237*Допущения!$B$18</f>
        <v>0.467499999986251</v>
      </c>
      <c r="N237" s="19" t="n">
        <f aca="false">N236+I237*Допущения!$B$18</f>
        <v>0.340580455701271</v>
      </c>
      <c r="O237" s="19" t="n">
        <f aca="false">O236+G237+H237+I237</f>
        <v>9.18376244935214</v>
      </c>
      <c r="P237" s="17" t="n">
        <f aca="false">P236+F237</f>
        <v>0.140626203531026</v>
      </c>
      <c r="Q237" s="6" t="n">
        <f aca="false">MIN(MATCH(A237,$S$3:$X$3,1),5)</f>
        <v>5</v>
      </c>
    </row>
    <row r="238" customFormat="false" ht="15" hidden="false" customHeight="false" outlineLevel="0" collapsed="false">
      <c r="A238" s="6" t="n">
        <v>231</v>
      </c>
      <c r="B238" s="14" t="n">
        <f aca="false">INDEX($S$4:$X$4,Q238)*(INDEX($S$4:$X$4,Q238+1)/INDEX($S$4:$X$4,Q238))^((LN(A238)-LN(INDEX($S$3:$X$3,Q238)))/(LN(INDEX($S$3:$X$3,Q238+1))-LN(INDEX($S$3:$X$3,Q238))))</f>
        <v>0.00881078529694043</v>
      </c>
      <c r="C238" s="33" t="n">
        <f aca="false">C237+B238</f>
        <v>7.69936444313225</v>
      </c>
      <c r="D238" s="36" t="n">
        <f aca="false">Допущения!$B$19*(1-EXP(-Допущения!$B$26*(A238+1)))</f>
        <v>0.0099999999997352</v>
      </c>
      <c r="E238" s="37" t="n">
        <f aca="false">D238-D237</f>
        <v>2.93081531266282E-014</v>
      </c>
      <c r="F238" s="37" t="n">
        <f aca="false">D238*MIN(1,B238*Допущения!$B$21)</f>
        <v>0.000220269632417678</v>
      </c>
      <c r="G238" s="17" t="n">
        <f aca="false">((B238-F238*Допущения!$B$23)*Допущения!$B$13*Допущения!$B$15+B238*Допущения!$B$14*Допущения!$B$16)/1000</f>
        <v>0.00866672895733577</v>
      </c>
      <c r="H238" s="17" t="n">
        <f aca="false">E238*Допущения!$B$27</f>
        <v>2.74031231733973E-012</v>
      </c>
      <c r="I238" s="17" t="n">
        <f aca="false">F238*Допущения!$B$22/30*Допущения!$B$28</f>
        <v>0.00106693532076208</v>
      </c>
      <c r="J238" s="17" t="n">
        <f aca="false">G238*Допущения!$B$17+(H238+I238)*Допущения!$B$18</f>
        <v>0.00486683214041908</v>
      </c>
      <c r="K238" s="19" t="n">
        <f aca="false">K237+J238</f>
        <v>4.59674805681648</v>
      </c>
      <c r="L238" s="19" t="n">
        <f aca="false">L237+G238*Допущения!$B$17</f>
        <v>3.78813413346722</v>
      </c>
      <c r="M238" s="19" t="n">
        <f aca="false">M237+H238*Допущения!$B$18</f>
        <v>0.467499999987621</v>
      </c>
      <c r="N238" s="19" t="n">
        <f aca="false">N237+I238*Допущения!$B$18</f>
        <v>0.341113923361652</v>
      </c>
      <c r="O238" s="19" t="n">
        <f aca="false">O237+G238+H238+I238</f>
        <v>9.19349611363298</v>
      </c>
      <c r="P238" s="17" t="n">
        <f aca="false">P237+F238</f>
        <v>0.140846473163444</v>
      </c>
      <c r="Q238" s="6" t="n">
        <f aca="false">MIN(MATCH(A238,$S$3:$X$3,1),5)</f>
        <v>5</v>
      </c>
    </row>
    <row r="239" customFormat="false" ht="15" hidden="false" customHeight="false" outlineLevel="0" collapsed="false">
      <c r="A239" s="6" t="n">
        <v>232</v>
      </c>
      <c r="B239" s="14" t="n">
        <f aca="false">INDEX($S$4:$X$4,Q239)*(INDEX($S$4:$X$4,Q239+1)/INDEX($S$4:$X$4,Q239))^((LN(A239)-LN(INDEX($S$3:$X$3,Q239)))/(LN(INDEX($S$3:$X$3,Q239+1))-LN(INDEX($S$3:$X$3,Q239))))</f>
        <v>0.0087637784652598</v>
      </c>
      <c r="C239" s="33" t="n">
        <f aca="false">C238+B239</f>
        <v>7.70812822159751</v>
      </c>
      <c r="D239" s="36" t="n">
        <f aca="false">Допущения!$B$19*(1-EXP(-Допущения!$B$26*(A239+1)))</f>
        <v>0.00999999999976159</v>
      </c>
      <c r="E239" s="37" t="n">
        <f aca="false">D239-D238</f>
        <v>2.63886135165592E-014</v>
      </c>
      <c r="F239" s="37" t="n">
        <f aca="false">D239*MIN(1,B239*Допущения!$B$21)</f>
        <v>0.000219094461626272</v>
      </c>
      <c r="G239" s="17" t="n">
        <f aca="false">((B239-F239*Допущения!$B$23)*Допущения!$B$13*Допущения!$B$15+B239*Допущения!$B$14*Допущения!$B$16)/1000</f>
        <v>0.00862049068735309</v>
      </c>
      <c r="H239" s="17" t="n">
        <f aca="false">E239*Допущения!$B$27</f>
        <v>2.46733536379828E-012</v>
      </c>
      <c r="I239" s="17" t="n">
        <f aca="false">F239*Допущения!$B$22/30*Допущения!$B$28</f>
        <v>0.00106124306436015</v>
      </c>
      <c r="J239" s="17" t="n">
        <f aca="false">G239*Допущения!$B$17+(H239+I239)*Допущения!$B$18</f>
        <v>0.00484086687709029</v>
      </c>
      <c r="K239" s="19" t="n">
        <f aca="false">K238+J239</f>
        <v>4.60158892369357</v>
      </c>
      <c r="L239" s="19" t="n">
        <f aca="false">L238+G239*Допущения!$B$17</f>
        <v>3.7924443788109</v>
      </c>
      <c r="M239" s="19" t="n">
        <f aca="false">M238+H239*Допущения!$B$18</f>
        <v>0.467499999988855</v>
      </c>
      <c r="N239" s="19" t="n">
        <f aca="false">N238+I239*Допущения!$B$18</f>
        <v>0.341644544893832</v>
      </c>
      <c r="O239" s="19" t="n">
        <f aca="false">O238+G239+H239+I239</f>
        <v>9.20317784738716</v>
      </c>
      <c r="P239" s="17" t="n">
        <f aca="false">P238+F239</f>
        <v>0.14106556762507</v>
      </c>
      <c r="Q239" s="6" t="n">
        <f aca="false">MIN(MATCH(A239,$S$3:$X$3,1),5)</f>
        <v>5</v>
      </c>
    </row>
    <row r="240" customFormat="false" ht="15" hidden="false" customHeight="false" outlineLevel="0" collapsed="false">
      <c r="A240" s="6" t="n">
        <v>233</v>
      </c>
      <c r="B240" s="14" t="n">
        <f aca="false">INDEX($S$4:$X$4,Q240)*(INDEX($S$4:$X$4,Q240+1)/INDEX($S$4:$X$4,Q240))^((LN(A240)-LN(INDEX($S$3:$X$3,Q240)))/(LN(INDEX($S$3:$X$3,Q240+1))-LN(INDEX($S$3:$X$3,Q240))))</f>
        <v>0.00871722298869966</v>
      </c>
      <c r="C240" s="33" t="n">
        <f aca="false">C239+B240</f>
        <v>7.7168454445862</v>
      </c>
      <c r="D240" s="36" t="n">
        <f aca="false">Допущения!$B$19*(1-EXP(-Допущения!$B$26*(A240+1)))</f>
        <v>0.00999999999978535</v>
      </c>
      <c r="E240" s="37" t="n">
        <f aca="false">D240-D239</f>
        <v>2.37587727269784E-014</v>
      </c>
      <c r="F240" s="37" t="n">
        <f aca="false">D240*MIN(1,B240*Допущения!$B$21)</f>
        <v>0.000217930574712814</v>
      </c>
      <c r="G240" s="17" t="n">
        <f aca="false">((B240-F240*Допущения!$B$23)*Допущения!$B$13*Допущения!$B$15+B240*Допущения!$B$14*Допущения!$B$16)/1000</f>
        <v>0.00857469639283467</v>
      </c>
      <c r="H240" s="17" t="n">
        <f aca="false">E240*Допущения!$B$27</f>
        <v>2.22144524997248E-012</v>
      </c>
      <c r="I240" s="17" t="n">
        <f aca="false">F240*Допущения!$B$22/30*Допущения!$B$28</f>
        <v>0.00105560546446174</v>
      </c>
      <c r="J240" s="17" t="n">
        <f aca="false">G240*Допущения!$B$17+(H240+I240)*Допущения!$B$18</f>
        <v>0.00481515092975893</v>
      </c>
      <c r="K240" s="19" t="n">
        <f aca="false">K239+J240</f>
        <v>4.60640407462333</v>
      </c>
      <c r="L240" s="19" t="n">
        <f aca="false">L239+G240*Допущения!$B$17</f>
        <v>3.79673172700731</v>
      </c>
      <c r="M240" s="19" t="n">
        <f aca="false">M239+H240*Допущения!$B$18</f>
        <v>0.467499999989965</v>
      </c>
      <c r="N240" s="19" t="n">
        <f aca="false">N239+I240*Допущения!$B$18</f>
        <v>0.342172347626063</v>
      </c>
      <c r="O240" s="19" t="n">
        <f aca="false">O239+G240+H240+I240</f>
        <v>9.21280814924667</v>
      </c>
      <c r="P240" s="17" t="n">
        <f aca="false">P239+F240</f>
        <v>0.141283498199783</v>
      </c>
      <c r="Q240" s="6" t="n">
        <f aca="false">MIN(MATCH(A240,$S$3:$X$3,1),5)</f>
        <v>5</v>
      </c>
    </row>
    <row r="241" customFormat="false" ht="15" hidden="false" customHeight="false" outlineLevel="0" collapsed="false">
      <c r="A241" s="6" t="n">
        <v>234</v>
      </c>
      <c r="B241" s="14" t="n">
        <f aca="false">INDEX($S$4:$X$4,Q241)*(INDEX($S$4:$X$4,Q241+1)/INDEX($S$4:$X$4,Q241))^((LN(A241)-LN(INDEX($S$3:$X$3,Q241)))/(LN(INDEX($S$3:$X$3,Q241+1))-LN(INDEX($S$3:$X$3,Q241))))</f>
        <v>0.00867111262402102</v>
      </c>
      <c r="C241" s="33" t="n">
        <f aca="false">C240+B241</f>
        <v>7.72551655721023</v>
      </c>
      <c r="D241" s="36" t="n">
        <f aca="false">Допущения!$B$19*(1-EXP(-Допущения!$B$26*(A241+1)))</f>
        <v>0.00999999999980674</v>
      </c>
      <c r="E241" s="37" t="n">
        <f aca="false">D241-D240</f>
        <v>2.139087518227E-014</v>
      </c>
      <c r="F241" s="37" t="n">
        <f aca="false">D241*MIN(1,B241*Допущения!$B$21)</f>
        <v>0.000216777815596336</v>
      </c>
      <c r="G241" s="17" t="n">
        <f aca="false">((B241-F241*Допущения!$B$23)*Допущения!$B$13*Допущения!$B$15+B241*Допущения!$B$14*Допущения!$B$16)/1000</f>
        <v>0.0085293399326185</v>
      </c>
      <c r="H241" s="17" t="n">
        <f aca="false">E241*Допущения!$B$27</f>
        <v>2.00004682954225E-012</v>
      </c>
      <c r="I241" s="17" t="n">
        <f aca="false">F241*Допущения!$B$22/30*Допущения!$B$28</f>
        <v>0.00105002176504661</v>
      </c>
      <c r="J241" s="17" t="n">
        <f aca="false">G241*Допущения!$B$17+(H241+I241)*Допущения!$B$18</f>
        <v>0.00478968084983258</v>
      </c>
      <c r="K241" s="19" t="n">
        <f aca="false">K240+J241</f>
        <v>4.61119375547316</v>
      </c>
      <c r="L241" s="19" t="n">
        <f aca="false">L240+G241*Допущения!$B$17</f>
        <v>3.80099639697362</v>
      </c>
      <c r="M241" s="19" t="n">
        <f aca="false">M240+H241*Допущения!$B$18</f>
        <v>0.467499999990965</v>
      </c>
      <c r="N241" s="19" t="n">
        <f aca="false">N240+I241*Допущения!$B$18</f>
        <v>0.342697358508586</v>
      </c>
      <c r="O241" s="19" t="n">
        <f aca="false">O240+G241+H241+I241</f>
        <v>9.22238751094634</v>
      </c>
      <c r="P241" s="17" t="n">
        <f aca="false">P240+F241</f>
        <v>0.141500276015379</v>
      </c>
      <c r="Q241" s="6" t="n">
        <f aca="false">MIN(MATCH(A241,$S$3:$X$3,1),5)</f>
        <v>5</v>
      </c>
    </row>
    <row r="242" customFormat="false" ht="15" hidden="false" customHeight="false" outlineLevel="0" collapsed="false">
      <c r="A242" s="6" t="n">
        <v>235</v>
      </c>
      <c r="B242" s="14" t="n">
        <f aca="false">INDEX($S$4:$X$4,Q242)*(INDEX($S$4:$X$4,Q242+1)/INDEX($S$4:$X$4,Q242))^((LN(A242)-LN(INDEX($S$3:$X$3,Q242)))/(LN(INDEX($S$3:$X$3,Q242+1))-LN(INDEX($S$3:$X$3,Q242))))</f>
        <v>0.00862544124052884</v>
      </c>
      <c r="C242" s="33" t="n">
        <f aca="false">C241+B242</f>
        <v>7.73414199845075</v>
      </c>
      <c r="D242" s="36" t="n">
        <f aca="false">Допущения!$B$19*(1-EXP(-Допущения!$B$26*(A242+1)))</f>
        <v>0.009999999999826</v>
      </c>
      <c r="E242" s="37" t="n">
        <f aca="false">D242-D241</f>
        <v>1.92606347537705E-014</v>
      </c>
      <c r="F242" s="37" t="n">
        <f aca="false">D242*MIN(1,B242*Допущения!$B$21)</f>
        <v>0.000215636031009469</v>
      </c>
      <c r="G242" s="17" t="n">
        <f aca="false">((B242-F242*Допущения!$B$23)*Допущения!$B$13*Допущения!$B$15+B242*Допущения!$B$14*Допущения!$B$16)/1000</f>
        <v>0.00848441527624639</v>
      </c>
      <c r="H242" s="17" t="n">
        <f aca="false">E242*Допущения!$B$27</f>
        <v>1.80086934947754E-012</v>
      </c>
      <c r="I242" s="17" t="n">
        <f aca="false">F242*Допущения!$B$22/30*Допущения!$B$28</f>
        <v>0.00104449122372297</v>
      </c>
      <c r="J242" s="17" t="n">
        <f aca="false">G242*Допущения!$B$17+(H242+I242)*Допущения!$B$18</f>
        <v>0.00476445325088511</v>
      </c>
      <c r="K242" s="19" t="n">
        <f aca="false">K241+J242</f>
        <v>4.61595820872405</v>
      </c>
      <c r="L242" s="19" t="n">
        <f aca="false">L241+G242*Допущения!$B$17</f>
        <v>3.80523860461174</v>
      </c>
      <c r="M242" s="19" t="n">
        <f aca="false">M241+H242*Допущения!$B$18</f>
        <v>0.467499999991866</v>
      </c>
      <c r="N242" s="19" t="n">
        <f aca="false">N241+I242*Допущения!$B$18</f>
        <v>0.343219604120448</v>
      </c>
      <c r="O242" s="19" t="n">
        <f aca="false">O241+G242+H242+I242</f>
        <v>9.23191641744811</v>
      </c>
      <c r="P242" s="17" t="n">
        <f aca="false">P241+F242</f>
        <v>0.141715912046389</v>
      </c>
      <c r="Q242" s="6" t="n">
        <f aca="false">MIN(MATCH(A242,$S$3:$X$3,1),5)</f>
        <v>5</v>
      </c>
    </row>
    <row r="243" customFormat="false" ht="15" hidden="false" customHeight="false" outlineLevel="0" collapsed="false">
      <c r="A243" s="6" t="n">
        <v>236</v>
      </c>
      <c r="B243" s="14" t="n">
        <f aca="false">INDEX($S$4:$X$4,Q243)*(INDEX($S$4:$X$4,Q243+1)/INDEX($S$4:$X$4,Q243))^((LN(A243)-LN(INDEX($S$3:$X$3,Q243)))/(LN(INDEX($S$3:$X$3,Q243+1))-LN(INDEX($S$3:$X$3,Q243))))</f>
        <v>0.00858020281757515</v>
      </c>
      <c r="C243" s="33" t="n">
        <f aca="false">C242+B243</f>
        <v>7.74272220126833</v>
      </c>
      <c r="D243" s="36" t="n">
        <f aca="false">Допущения!$B$19*(1-EXP(-Допущения!$B$26*(A243+1)))</f>
        <v>0.00999999999984334</v>
      </c>
      <c r="E243" s="37" t="n">
        <f aca="false">D243-D242</f>
        <v>1.73385611423882E-014</v>
      </c>
      <c r="F243" s="37" t="n">
        <f aca="false">D243*MIN(1,B243*Допущения!$B$21)</f>
        <v>0.000214505070436018</v>
      </c>
      <c r="G243" s="17" t="n">
        <f aca="false">((B243-F243*Допущения!$B$23)*Допущения!$B$13*Допущения!$B$15+B243*Допущения!$B$14*Допущения!$B$16)/1000</f>
        <v>0.00843991650150798</v>
      </c>
      <c r="H243" s="17" t="n">
        <f aca="false">E243*Допущения!$B$27</f>
        <v>1.6211554668133E-012</v>
      </c>
      <c r="I243" s="17" t="n">
        <f aca="false">F243*Допущения!$B$22/30*Допущения!$B$28</f>
        <v>0.00103901311142506</v>
      </c>
      <c r="J243" s="17" t="n">
        <f aca="false">G243*Допущения!$B$17+(H243+I243)*Допущения!$B$18</f>
        <v>0.0047394648072771</v>
      </c>
      <c r="K243" s="19" t="n">
        <f aca="false">K242+J243</f>
        <v>4.62069767353133</v>
      </c>
      <c r="L243" s="19" t="n">
        <f aca="false">L242+G243*Допущения!$B$17</f>
        <v>3.8094585628625</v>
      </c>
      <c r="M243" s="19" t="n">
        <f aca="false">M242+H243*Допущения!$B$18</f>
        <v>0.467499999992676</v>
      </c>
      <c r="N243" s="19" t="n">
        <f aca="false">N242+I243*Допущения!$B$18</f>
        <v>0.343739110676161</v>
      </c>
      <c r="O243" s="19" t="n">
        <f aca="false">O242+G243+H243+I243</f>
        <v>9.24139534706267</v>
      </c>
      <c r="P243" s="17" t="n">
        <f aca="false">P242+F243</f>
        <v>0.141930417116825</v>
      </c>
      <c r="Q243" s="6" t="n">
        <f aca="false">MIN(MATCH(A243,$S$3:$X$3,1),5)</f>
        <v>5</v>
      </c>
    </row>
    <row r="244" customFormat="false" ht="15" hidden="false" customHeight="false" outlineLevel="0" collapsed="false">
      <c r="A244" s="6" t="n">
        <v>237</v>
      </c>
      <c r="B244" s="14" t="n">
        <f aca="false">INDEX($S$4:$X$4,Q244)*(INDEX($S$4:$X$4,Q244+1)/INDEX($S$4:$X$4,Q244))^((LN(A244)-LN(INDEX($S$3:$X$3,Q244)))/(LN(INDEX($S$3:$X$3,Q244+1))-LN(INDEX($S$3:$X$3,Q244))))</f>
        <v>0.008535391442128</v>
      </c>
      <c r="C244" s="33" t="n">
        <f aca="false">C243+B244</f>
        <v>7.75125759271046</v>
      </c>
      <c r="D244" s="36" t="n">
        <f aca="false">Допущения!$B$19*(1-EXP(-Допущения!$B$26*(A244+1)))</f>
        <v>0.00999999999985895</v>
      </c>
      <c r="E244" s="37" t="n">
        <f aca="false">D244-D243</f>
        <v>1.56125112837913E-014</v>
      </c>
      <c r="F244" s="37" t="n">
        <f aca="false">D244*MIN(1,B244*Допущения!$B$21)</f>
        <v>0.00021338478605019</v>
      </c>
      <c r="G244" s="17" t="n">
        <f aca="false">((B244-F244*Допущения!$B$23)*Допущения!$B$13*Допущения!$B$15+B244*Допущения!$B$14*Допущения!$B$16)/1000</f>
        <v>0.00839583779204937</v>
      </c>
      <c r="H244" s="17" t="n">
        <f aca="false">E244*Допущения!$B$27</f>
        <v>1.45976980503448E-012</v>
      </c>
      <c r="I244" s="17" t="n">
        <f aca="false">F244*Допущения!$B$22/30*Допущения!$B$28</f>
        <v>0.00103358671211881</v>
      </c>
      <c r="J244" s="17" t="n">
        <f aca="false">G244*Допущения!$B$17+(H244+I244)*Допущения!$B$18</f>
        <v>0.00471471225281398</v>
      </c>
      <c r="K244" s="19" t="n">
        <f aca="false">K243+J244</f>
        <v>4.62541238578414</v>
      </c>
      <c r="L244" s="19" t="n">
        <f aca="false">L243+G244*Допущения!$B$17</f>
        <v>3.81365648175852</v>
      </c>
      <c r="M244" s="19" t="n">
        <f aca="false">M243+H244*Допущения!$B$18</f>
        <v>0.467499999993406</v>
      </c>
      <c r="N244" s="19" t="n">
        <f aca="false">N243+I244*Допущения!$B$18</f>
        <v>0.34425590403222</v>
      </c>
      <c r="O244" s="19" t="n">
        <f aca="false">O243+G244+H244+I244</f>
        <v>9.25082477156829</v>
      </c>
      <c r="P244" s="17" t="n">
        <f aca="false">P243+F244</f>
        <v>0.142143801902875</v>
      </c>
      <c r="Q244" s="6" t="n">
        <f aca="false">MIN(MATCH(A244,$S$3:$X$3,1),5)</f>
        <v>5</v>
      </c>
    </row>
    <row r="245" customFormat="false" ht="15" hidden="false" customHeight="false" outlineLevel="0" collapsed="false">
      <c r="A245" s="6" t="n">
        <v>238</v>
      </c>
      <c r="B245" s="14" t="n">
        <f aca="false">INDEX($S$4:$X$4,Q245)*(INDEX($S$4:$X$4,Q245+1)/INDEX($S$4:$X$4,Q245))^((LN(A245)-LN(INDEX($S$3:$X$3,Q245)))/(LN(INDEX($S$3:$X$3,Q245+1))-LN(INDEX($S$3:$X$3,Q245))))</f>
        <v>0.00849100130640393</v>
      </c>
      <c r="C245" s="33" t="n">
        <f aca="false">C244+B245</f>
        <v>7.75974859401686</v>
      </c>
      <c r="D245" s="36" t="n">
        <f aca="false">Допущения!$B$19*(1-EXP(-Допущения!$B$26*(A245+1)))</f>
        <v>0.00999999999987301</v>
      </c>
      <c r="E245" s="37" t="n">
        <f aca="false">D245-D244</f>
        <v>1.40564643258401E-014</v>
      </c>
      <c r="F245" s="37" t="n">
        <f aca="false">D245*MIN(1,B245*Допущения!$B$21)</f>
        <v>0.000212275032657402</v>
      </c>
      <c r="G245" s="17" t="n">
        <f aca="false">((B245-F245*Допущения!$B$23)*Допущения!$B$13*Допущения!$B$15+B245*Допущения!$B$14*Допущения!$B$16)/1000</f>
        <v>0.00835217343504437</v>
      </c>
      <c r="H245" s="17" t="n">
        <f aca="false">E245*Допущения!$B$27</f>
        <v>1.31427941446605E-012</v>
      </c>
      <c r="I245" s="17" t="n">
        <f aca="false">F245*Допущения!$B$22/30*Допущения!$B$28</f>
        <v>0.00102821132251515</v>
      </c>
      <c r="J245" s="17" t="n">
        <f aca="false">G245*Допущения!$B$17+(H245+I245)*Допущения!$B$18</f>
        <v>0.0046901923794369</v>
      </c>
      <c r="K245" s="19" t="n">
        <f aca="false">K244+J245</f>
        <v>4.63010257816358</v>
      </c>
      <c r="L245" s="19" t="n">
        <f aca="false">L244+G245*Допущения!$B$17</f>
        <v>3.81783256847605</v>
      </c>
      <c r="M245" s="19" t="n">
        <f aca="false">M244+H245*Допущения!$B$18</f>
        <v>0.467499999994063</v>
      </c>
      <c r="N245" s="19" t="n">
        <f aca="false">N244+I245*Допущения!$B$18</f>
        <v>0.344770009693478</v>
      </c>
      <c r="O245" s="19" t="n">
        <f aca="false">O244+G245+H245+I245</f>
        <v>9.26020515632717</v>
      </c>
      <c r="P245" s="17" t="n">
        <f aca="false">P244+F245</f>
        <v>0.142356076935533</v>
      </c>
      <c r="Q245" s="6" t="n">
        <f aca="false">MIN(MATCH(A245,$S$3:$X$3,1),5)</f>
        <v>5</v>
      </c>
    </row>
    <row r="246" customFormat="false" ht="15" hidden="false" customHeight="false" outlineLevel="0" collapsed="false">
      <c r="A246" s="6" t="n">
        <v>239</v>
      </c>
      <c r="B246" s="14" t="n">
        <f aca="false">INDEX($S$4:$X$4,Q246)*(INDEX($S$4:$X$4,Q246+1)/INDEX($S$4:$X$4,Q246))^((LN(A246)-LN(INDEX($S$3:$X$3,Q246)))/(LN(INDEX($S$3:$X$3,Q246+1))-LN(INDEX($S$3:$X$3,Q246))))</f>
        <v>0.00844702670556233</v>
      </c>
      <c r="C246" s="33" t="n">
        <f aca="false">C245+B246</f>
        <v>7.76819562072242</v>
      </c>
      <c r="D246" s="36" t="n">
        <f aca="false">Допущения!$B$19*(1-EXP(-Допущения!$B$26*(A246+1)))</f>
        <v>0.00999999999988566</v>
      </c>
      <c r="E246" s="37" t="n">
        <f aca="false">D246-D245</f>
        <v>1.26548077572508E-014</v>
      </c>
      <c r="F246" s="37" t="n">
        <f aca="false">D246*MIN(1,B246*Допущения!$B$21)</f>
        <v>0.000211175667636644</v>
      </c>
      <c r="G246" s="17" t="n">
        <f aca="false">((B246-F246*Допущения!$B$23)*Допущения!$B$13*Допущения!$B$15+B246*Допущения!$B$14*Допущения!$B$16)/1000</f>
        <v>0.00830891781892652</v>
      </c>
      <c r="H246" s="17" t="n">
        <f aca="false">E246*Допущения!$B$27</f>
        <v>1.18322452530295E-012</v>
      </c>
      <c r="I246" s="17" t="n">
        <f aca="false">F246*Допущения!$B$22/30*Допущения!$B$28</f>
        <v>0.00102288625179076</v>
      </c>
      <c r="J246" s="17" t="n">
        <f aca="false">G246*Допущения!$B$17+(H246+I246)*Допущения!$B$18</f>
        <v>0.00466590203595025</v>
      </c>
      <c r="K246" s="19" t="n">
        <f aca="false">K245+J246</f>
        <v>4.63476848019953</v>
      </c>
      <c r="L246" s="19" t="n">
        <f aca="false">L245+G246*Допущения!$B$17</f>
        <v>3.82198702738551</v>
      </c>
      <c r="M246" s="19" t="n">
        <f aca="false">M245+H246*Допущения!$B$18</f>
        <v>0.467499999994655</v>
      </c>
      <c r="N246" s="19" t="n">
        <f aca="false">N245+I246*Допущения!$B$18</f>
        <v>0.345281452819373</v>
      </c>
      <c r="O246" s="19" t="n">
        <f aca="false">O245+G246+H246+I246</f>
        <v>9.26953696039907</v>
      </c>
      <c r="P246" s="17" t="n">
        <f aca="false">P245+F246</f>
        <v>0.142567252603169</v>
      </c>
      <c r="Q246" s="6" t="n">
        <f aca="false">MIN(MATCH(A246,$S$3:$X$3,1),5)</f>
        <v>5</v>
      </c>
    </row>
    <row r="247" customFormat="false" ht="15" hidden="false" customHeight="false" outlineLevel="0" collapsed="false">
      <c r="A247" s="6" t="n">
        <v>240</v>
      </c>
      <c r="B247" s="14" t="n">
        <f aca="false">INDEX($S$4:$X$4,Q247)*(INDEX($S$4:$X$4,Q247+1)/INDEX($S$4:$X$4,Q247))^((LN(A247)-LN(INDEX($S$3:$X$3,Q247)))/(LN(INDEX($S$3:$X$3,Q247+1))-LN(INDEX($S$3:$X$3,Q247))))</f>
        <v>0.00840346203545969</v>
      </c>
      <c r="C247" s="33" t="n">
        <f aca="false">C246+B247</f>
        <v>7.77659908275788</v>
      </c>
      <c r="D247" s="36" t="n">
        <f aca="false">Допущения!$B$19*(1-EXP(-Допущения!$B$26*(A247+1)))</f>
        <v>0.00999999999989706</v>
      </c>
      <c r="E247" s="37" t="n">
        <f aca="false">D247-D246</f>
        <v>1.13953985136916E-014</v>
      </c>
      <c r="F247" s="37" t="n">
        <f aca="false">D247*MIN(1,B247*Допущения!$B$21)</f>
        <v>0.00021008655088433</v>
      </c>
      <c r="G247" s="17" t="n">
        <f aca="false">((B247-F247*Допущения!$B$23)*Допущения!$B$13*Допущения!$B$15+B247*Допущения!$B$14*Допущения!$B$16)/1000</f>
        <v>0.00826606543118004</v>
      </c>
      <c r="H247" s="17" t="n">
        <f aca="false">E247*Допущения!$B$27</f>
        <v>1.06546976103017E-012</v>
      </c>
      <c r="I247" s="17" t="n">
        <f aca="false">F247*Допущения!$B$22/30*Допущения!$B$28</f>
        <v>0.0010176108213162</v>
      </c>
      <c r="J247" s="17" t="n">
        <f aca="false">G247*Допущения!$B$17+(H247+I247)*Допущения!$B$18</f>
        <v>0.00464183812678086</v>
      </c>
      <c r="K247" s="19" t="n">
        <f aca="false">K246+J247</f>
        <v>4.63941031832631</v>
      </c>
      <c r="L247" s="19" t="n">
        <f aca="false">L246+G247*Допущения!$B$17</f>
        <v>3.8261200601011</v>
      </c>
      <c r="M247" s="19" t="n">
        <f aca="false">M246+H247*Допущения!$B$18</f>
        <v>0.467499999995188</v>
      </c>
      <c r="N247" s="19" t="n">
        <f aca="false">N246+I247*Допущения!$B$18</f>
        <v>0.345790258230031</v>
      </c>
      <c r="O247" s="19" t="n">
        <f aca="false">O246+G247+H247+I247</f>
        <v>9.27882063665263</v>
      </c>
      <c r="P247" s="17" t="n">
        <f aca="false">P246+F247</f>
        <v>0.142777339154054</v>
      </c>
      <c r="Q247" s="6" t="n">
        <f aca="false">MIN(MATCH(A247,$S$3:$X$3,1),5)</f>
        <v>5</v>
      </c>
    </row>
    <row r="248" customFormat="false" ht="15" hidden="false" customHeight="false" outlineLevel="0" collapsed="false">
      <c r="A248" s="6" t="n">
        <v>241</v>
      </c>
      <c r="B248" s="14" t="n">
        <f aca="false">INDEX($S$4:$X$4,Q248)*(INDEX($S$4:$X$4,Q248+1)/INDEX($S$4:$X$4,Q248))^((LN(A248)-LN(INDEX($S$3:$X$3,Q248)))/(LN(INDEX($S$3:$X$3,Q248+1))-LN(INDEX($S$3:$X$3,Q248))))</f>
        <v>0.00836030179046189</v>
      </c>
      <c r="C248" s="33" t="n">
        <f aca="false">C247+B248</f>
        <v>7.78495938454835</v>
      </c>
      <c r="D248" s="36" t="n">
        <f aca="false">Допущения!$B$19*(1-EXP(-Допущения!$B$26*(A248+1)))</f>
        <v>0.00999999999990732</v>
      </c>
      <c r="E248" s="37" t="n">
        <f aca="false">D248-D247</f>
        <v>1.02591546369268E-014</v>
      </c>
      <c r="F248" s="37" t="n">
        <f aca="false">D248*MIN(1,B248*Допущения!$B$21)</f>
        <v>0.00020900754475961</v>
      </c>
      <c r="G248" s="17" t="n">
        <f aca="false">((B248-F248*Допущения!$B$23)*Допущения!$B$13*Допущения!$B$15+B248*Допущения!$B$14*Допущения!$B$16)/1000</f>
        <v>0.00822361085618794</v>
      </c>
      <c r="H248" s="17" t="n">
        <f aca="false">E248*Допущения!$B$27</f>
        <v>9.59230958552659E-013</v>
      </c>
      <c r="I248" s="17" t="n">
        <f aca="false">F248*Допущения!$B$22/30*Допущения!$B$28</f>
        <v>0.0010123843643909</v>
      </c>
      <c r="J248" s="17" t="n">
        <f aca="false">G248*Допущения!$B$17+(H248+I248)*Допущения!$B$18</f>
        <v>0.00461799761076904</v>
      </c>
      <c r="K248" s="19" t="n">
        <f aca="false">K247+J248</f>
        <v>4.64402831593708</v>
      </c>
      <c r="L248" s="19" t="n">
        <f aca="false">L247+G248*Допущения!$B$17</f>
        <v>3.83023186552919</v>
      </c>
      <c r="M248" s="19" t="n">
        <f aca="false">M247+H248*Допущения!$B$18</f>
        <v>0.467499999995667</v>
      </c>
      <c r="N248" s="19" t="n">
        <f aca="false">N247+I248*Допущения!$B$18</f>
        <v>0.346296450412226</v>
      </c>
      <c r="O248" s="19" t="n">
        <f aca="false">O247+G248+H248+I248</f>
        <v>9.28805663187417</v>
      </c>
      <c r="P248" s="17" t="n">
        <f aca="false">P247+F248</f>
        <v>0.142986346698813</v>
      </c>
      <c r="Q248" s="6" t="n">
        <f aca="false">MIN(MATCH(A248,$S$3:$X$3,1),5)</f>
        <v>5</v>
      </c>
    </row>
    <row r="249" customFormat="false" ht="15" hidden="false" customHeight="false" outlineLevel="0" collapsed="false">
      <c r="A249" s="6" t="n">
        <v>242</v>
      </c>
      <c r="B249" s="14" t="n">
        <f aca="false">INDEX($S$4:$X$4,Q249)*(INDEX($S$4:$X$4,Q249+1)/INDEX($S$4:$X$4,Q249))^((LN(A249)-LN(INDEX($S$3:$X$3,Q249)))/(LN(INDEX($S$3:$X$3,Q249+1))-LN(INDEX($S$3:$X$3,Q249))))</f>
        <v>0.0083175405613129</v>
      </c>
      <c r="C249" s="33" t="n">
        <f aca="false">C248+B249</f>
        <v>7.79327692510966</v>
      </c>
      <c r="D249" s="36" t="n">
        <f aca="false">Допущения!$B$19*(1-EXP(-Допущения!$B$26*(A249+1)))</f>
        <v>0.00999999999991655</v>
      </c>
      <c r="E249" s="37" t="n">
        <f aca="false">D249-D248</f>
        <v>9.23566778610052E-015</v>
      </c>
      <c r="F249" s="37" t="n">
        <f aca="false">D249*MIN(1,B249*Допущения!$B$21)</f>
        <v>0.000207938514031087</v>
      </c>
      <c r="G249" s="17" t="n">
        <f aca="false">((B249-F249*Допущения!$B$23)*Допущения!$B$13*Допущения!$B$15+B249*Допущения!$B$14*Допущения!$B$16)/1000</f>
        <v>0.00818154877313553</v>
      </c>
      <c r="H249" s="17" t="n">
        <f aca="false">E249*Допущения!$B$27</f>
        <v>8.63534938000399E-013</v>
      </c>
      <c r="I249" s="17" t="n">
        <f aca="false">F249*Допущения!$B$22/30*Допущения!$B$28</f>
        <v>0.00100720622598516</v>
      </c>
      <c r="J249" s="17" t="n">
        <f aca="false">G249*Допущения!$B$17+(H249+I249)*Допущения!$B$18</f>
        <v>0.00459437749999211</v>
      </c>
      <c r="K249" s="19" t="n">
        <f aca="false">K248+J249</f>
        <v>4.64862269343707</v>
      </c>
      <c r="L249" s="19" t="n">
        <f aca="false">L248+G249*Допущения!$B$17</f>
        <v>3.83432263991576</v>
      </c>
      <c r="M249" s="19" t="n">
        <f aca="false">M248+H249*Допущения!$B$18</f>
        <v>0.467499999996099</v>
      </c>
      <c r="N249" s="19" t="n">
        <f aca="false">N248+I249*Допущения!$B$18</f>
        <v>0.346800053525219</v>
      </c>
      <c r="O249" s="19" t="n">
        <f aca="false">O248+G249+H249+I249</f>
        <v>9.29724538687415</v>
      </c>
      <c r="P249" s="17" t="n">
        <f aca="false">P248+F249</f>
        <v>0.143194285212844</v>
      </c>
      <c r="Q249" s="6" t="n">
        <f aca="false">MIN(MATCH(A249,$S$3:$X$3,1),5)</f>
        <v>5</v>
      </c>
    </row>
    <row r="250" customFormat="false" ht="15" hidden="false" customHeight="false" outlineLevel="0" collapsed="false">
      <c r="A250" s="6" t="n">
        <v>243</v>
      </c>
      <c r="B250" s="14" t="n">
        <f aca="false">INDEX($S$4:$X$4,Q250)*(INDEX($S$4:$X$4,Q250+1)/INDEX($S$4:$X$4,Q250))^((LN(A250)-LN(INDEX($S$3:$X$3,Q250)))/(LN(INDEX($S$3:$X$3,Q250+1))-LN(INDEX($S$3:$X$3,Q250))))</f>
        <v>0.0082751730330582</v>
      </c>
      <c r="C250" s="33" t="n">
        <f aca="false">C249+B250</f>
        <v>7.80155209814272</v>
      </c>
      <c r="D250" s="36" t="n">
        <f aca="false">Допущения!$B$19*(1-EXP(-Допущения!$B$26*(A250+1)))</f>
        <v>0.00999999999992487</v>
      </c>
      <c r="E250" s="37" t="n">
        <f aca="false">D250-D249</f>
        <v>8.31626434383281E-015</v>
      </c>
      <c r="F250" s="37" t="n">
        <f aca="false">D250*MIN(1,B250*Допущения!$B$21)</f>
        <v>0.000206879325824901</v>
      </c>
      <c r="G250" s="17" t="n">
        <f aca="false">((B250-F250*Допущения!$B$23)*Допущения!$B$13*Допущения!$B$15+B250*Допущения!$B$14*Допущения!$B$16)/1000</f>
        <v>0.00813987395396779</v>
      </c>
      <c r="H250" s="17" t="n">
        <f aca="false">E250*Допущения!$B$27</f>
        <v>7.77570716148368E-013</v>
      </c>
      <c r="I250" s="17" t="n">
        <f aca="false">F250*Допущения!$B$22/30*Допущения!$B$28</f>
        <v>0.00100207576248862</v>
      </c>
      <c r="J250" s="17" t="n">
        <f aca="false">G250*Допущения!$B$17+(H250+I250)*Допущения!$B$18</f>
        <v>0.00457097485861699</v>
      </c>
      <c r="K250" s="19" t="n">
        <f aca="false">K249+J250</f>
        <v>4.65319366829569</v>
      </c>
      <c r="L250" s="19" t="n">
        <f aca="false">L249+G250*Допущения!$B$17</f>
        <v>3.83839257689274</v>
      </c>
      <c r="M250" s="19" t="n">
        <f aca="false">M249+H250*Допущения!$B$18</f>
        <v>0.467499999996488</v>
      </c>
      <c r="N250" s="19" t="n">
        <f aca="false">N249+I250*Допущения!$B$18</f>
        <v>0.347301091406463</v>
      </c>
      <c r="O250" s="19" t="n">
        <f aca="false">O249+G250+H250+I250</f>
        <v>9.30638733659139</v>
      </c>
      <c r="P250" s="17" t="n">
        <f aca="false">P249+F250</f>
        <v>0.143401164538669</v>
      </c>
      <c r="Q250" s="6" t="n">
        <f aca="false">MIN(MATCH(A250,$S$3:$X$3,1),5)</f>
        <v>5</v>
      </c>
    </row>
    <row r="251" customFormat="false" ht="15" hidden="false" customHeight="false" outlineLevel="0" collapsed="false">
      <c r="A251" s="6" t="n">
        <v>244</v>
      </c>
      <c r="B251" s="14" t="n">
        <f aca="false">INDEX($S$4:$X$4,Q251)*(INDEX($S$4:$X$4,Q251+1)/INDEX($S$4:$X$4,Q251))^((LN(A251)-LN(INDEX($S$3:$X$3,Q251)))/(LN(INDEX($S$3:$X$3,Q251+1))-LN(INDEX($S$3:$X$3,Q251))))</f>
        <v>0.00823319398302119</v>
      </c>
      <c r="C251" s="33" t="n">
        <f aca="false">C250+B251</f>
        <v>7.80978529212574</v>
      </c>
      <c r="D251" s="36" t="n">
        <f aca="false">Допущения!$B$19*(1-EXP(-Допущения!$B$26*(A251+1)))</f>
        <v>0.00999999999993236</v>
      </c>
      <c r="E251" s="37" t="n">
        <f aca="false">D251-D250</f>
        <v>7.4870665223159E-015</v>
      </c>
      <c r="F251" s="37" t="n">
        <f aca="false">D251*MIN(1,B251*Допущения!$B$21)</f>
        <v>0.000205829849574137</v>
      </c>
      <c r="G251" s="17" t="n">
        <f aca="false">((B251-F251*Допущения!$B$23)*Допущения!$B$13*Допущения!$B$15+B251*Допущения!$B$14*Допущения!$B$16)/1000</f>
        <v>0.00809858126139887</v>
      </c>
      <c r="H251" s="17" t="n">
        <f aca="false">E251*Допущения!$B$27</f>
        <v>7.00040719836537E-013</v>
      </c>
      <c r="I251" s="17" t="n">
        <f aca="false">F251*Допущения!$B$22/30*Допущения!$B$28</f>
        <v>0.000996992341465257</v>
      </c>
      <c r="J251" s="17" t="n">
        <f aca="false">G251*Допущения!$B$17+(H251+I251)*Допущения!$B$18</f>
        <v>0.00454778680178208</v>
      </c>
      <c r="K251" s="19" t="n">
        <f aca="false">K250+J251</f>
        <v>4.65774145509747</v>
      </c>
      <c r="L251" s="19" t="n">
        <f aca="false">L250+G251*Допущения!$B$17</f>
        <v>3.84244186752344</v>
      </c>
      <c r="M251" s="19" t="n">
        <f aca="false">M250+H251*Допущения!$B$18</f>
        <v>0.467499999996838</v>
      </c>
      <c r="N251" s="19" t="n">
        <f aca="false">N250+I251*Допущения!$B$18</f>
        <v>0.347799587577196</v>
      </c>
      <c r="O251" s="19" t="n">
        <f aca="false">O250+G251+H251+I251</f>
        <v>9.31548291019495</v>
      </c>
      <c r="P251" s="17" t="n">
        <f aca="false">P250+F251</f>
        <v>0.143606994388243</v>
      </c>
      <c r="Q251" s="6" t="n">
        <f aca="false">MIN(MATCH(A251,$S$3:$X$3,1),5)</f>
        <v>5</v>
      </c>
    </row>
    <row r="252" customFormat="false" ht="15" hidden="false" customHeight="false" outlineLevel="0" collapsed="false">
      <c r="A252" s="6" t="n">
        <v>245</v>
      </c>
      <c r="B252" s="14" t="n">
        <f aca="false">INDEX($S$4:$X$4,Q252)*(INDEX($S$4:$X$4,Q252+1)/INDEX($S$4:$X$4,Q252))^((LN(A252)-LN(INDEX($S$3:$X$3,Q252)))/(LN(INDEX($S$3:$X$3,Q252+1))-LN(INDEX($S$3:$X$3,Q252))))</f>
        <v>0.00819159827883116</v>
      </c>
      <c r="C252" s="33" t="n">
        <f aca="false">C251+B252</f>
        <v>7.81797689040457</v>
      </c>
      <c r="D252" s="36" t="n">
        <f aca="false">Допущения!$B$19*(1-EXP(-Допущения!$B$26*(A252+1)))</f>
        <v>0.0099999999999391</v>
      </c>
      <c r="E252" s="37" t="n">
        <f aca="false">D252-D251</f>
        <v>6.74113542764587E-015</v>
      </c>
      <c r="F252" s="37" t="n">
        <f aca="false">D252*MIN(1,B252*Допущения!$B$21)</f>
        <v>0.000204789956969532</v>
      </c>
      <c r="G252" s="17" t="n">
        <f aca="false">((B252-F252*Допущения!$B$23)*Допущения!$B$13*Допущения!$B$15+B252*Допущения!$B$14*Допущения!$B$16)/1000</f>
        <v>0.00805766564697234</v>
      </c>
      <c r="H252" s="17" t="n">
        <f aca="false">E252*Допущения!$B$27</f>
        <v>6.30296162484889E-013</v>
      </c>
      <c r="I252" s="17" t="n">
        <f aca="false">F252*Допущения!$B$22/30*Допущения!$B$28</f>
        <v>0.000991955341414568</v>
      </c>
      <c r="J252" s="17" t="n">
        <f aca="false">G252*Допущения!$B$17+(H252+I252)*Допущения!$B$18</f>
        <v>0.0045248104945086</v>
      </c>
      <c r="K252" s="19" t="n">
        <f aca="false">K251+J252</f>
        <v>4.66226626559198</v>
      </c>
      <c r="L252" s="19" t="n">
        <f aca="false">L251+G252*Допущения!$B$17</f>
        <v>3.84647070034693</v>
      </c>
      <c r="M252" s="19" t="n">
        <f aca="false">M251+H252*Допущения!$B$18</f>
        <v>0.467499999997153</v>
      </c>
      <c r="N252" s="19" t="n">
        <f aca="false">N251+I252*Допущения!$B$18</f>
        <v>0.348295565247903</v>
      </c>
      <c r="O252" s="19" t="n">
        <f aca="false">O251+G252+H252+I252</f>
        <v>9.32453253118397</v>
      </c>
      <c r="P252" s="17" t="n">
        <f aca="false">P251+F252</f>
        <v>0.143811784345213</v>
      </c>
      <c r="Q252" s="6" t="n">
        <f aca="false">MIN(MATCH(A252,$S$3:$X$3,1),5)</f>
        <v>5</v>
      </c>
    </row>
    <row r="253" customFormat="false" ht="15" hidden="false" customHeight="false" outlineLevel="0" collapsed="false">
      <c r="A253" s="6" t="n">
        <v>246</v>
      </c>
      <c r="B253" s="14" t="n">
        <f aca="false">INDEX($S$4:$X$4,Q253)*(INDEX($S$4:$X$4,Q253+1)/INDEX($S$4:$X$4,Q253))^((LN(A253)-LN(INDEX($S$3:$X$3,Q253)))/(LN(INDEX($S$3:$X$3,Q253+1))-LN(INDEX($S$3:$X$3,Q253))))</f>
        <v>0.00815038087650124</v>
      </c>
      <c r="C253" s="33" t="n">
        <f aca="false">C252+B253</f>
        <v>7.82612727128107</v>
      </c>
      <c r="D253" s="36" t="n">
        <f aca="false">Допущения!$B$19*(1-EXP(-Допущения!$B$26*(A253+1)))</f>
        <v>0.00999999999994517</v>
      </c>
      <c r="E253" s="37" t="n">
        <f aca="false">D253-D252</f>
        <v>6.06979744244285E-015</v>
      </c>
      <c r="F253" s="37" t="n">
        <f aca="false">D253*MIN(1,B253*Допущения!$B$21)</f>
        <v>0.000203759521911414</v>
      </c>
      <c r="G253" s="17" t="n">
        <f aca="false">((B253-F253*Допущения!$B$23)*Допущения!$B$13*Допущения!$B$15+B253*Допущения!$B$14*Допущения!$B$16)/1000</f>
        <v>0.00801712214917051</v>
      </c>
      <c r="H253" s="17" t="n">
        <f aca="false">E253*Допущения!$B$27</f>
        <v>5.67526060868406E-013</v>
      </c>
      <c r="I253" s="17" t="n">
        <f aca="false">F253*Допущения!$B$22/30*Допущения!$B$28</f>
        <v>0.000986964151538821</v>
      </c>
      <c r="J253" s="17" t="n">
        <f aca="false">G253*Допущения!$B$17+(H253+I253)*Допущения!$B$18</f>
        <v>0.00450204315063843</v>
      </c>
      <c r="K253" s="19" t="n">
        <f aca="false">K252+J253</f>
        <v>4.66676830874262</v>
      </c>
      <c r="L253" s="19" t="n">
        <f aca="false">L252+G253*Допущения!$B$17</f>
        <v>3.85047926142151</v>
      </c>
      <c r="M253" s="19" t="n">
        <f aca="false">M252+H253*Допущения!$B$18</f>
        <v>0.467499999997437</v>
      </c>
      <c r="N253" s="19" t="n">
        <f aca="false">N252+I253*Допущения!$B$18</f>
        <v>0.348789047323673</v>
      </c>
      <c r="O253" s="19" t="n">
        <f aca="false">O252+G253+H253+I253</f>
        <v>9.33353661748524</v>
      </c>
      <c r="P253" s="17" t="n">
        <f aca="false">P252+F253</f>
        <v>0.144015543867124</v>
      </c>
      <c r="Q253" s="6" t="n">
        <f aca="false">MIN(MATCH(A253,$S$3:$X$3,1),5)</f>
        <v>5</v>
      </c>
    </row>
    <row r="254" customFormat="false" ht="15" hidden="false" customHeight="false" outlineLevel="0" collapsed="false">
      <c r="A254" s="6" t="n">
        <v>247</v>
      </c>
      <c r="B254" s="14" t="n">
        <f aca="false">INDEX($S$4:$X$4,Q254)*(INDEX($S$4:$X$4,Q254+1)/INDEX($S$4:$X$4,Q254))^((LN(A254)-LN(INDEX($S$3:$X$3,Q254)))/(LN(INDEX($S$3:$X$3,Q254+1))-LN(INDEX($S$3:$X$3,Q254))))</f>
        <v>0.00810953681855481</v>
      </c>
      <c r="C254" s="33" t="n">
        <f aca="false">C253+B254</f>
        <v>7.83423680809963</v>
      </c>
      <c r="D254" s="36" t="n">
        <f aca="false">Допущения!$B$19*(1-EXP(-Допущения!$B$26*(A254+1)))</f>
        <v>0.00999999999995063</v>
      </c>
      <c r="E254" s="37" t="n">
        <f aca="false">D254-D253</f>
        <v>5.46437894932694E-015</v>
      </c>
      <c r="F254" s="37" t="n">
        <f aca="false">D254*MIN(1,B254*Допущения!$B$21)</f>
        <v>0.000202738420462869</v>
      </c>
      <c r="G254" s="17" t="n">
        <f aca="false">((B254-F254*Допущения!$B$23)*Допущения!$B$13*Допущения!$B$15+B254*Допущения!$B$14*Допущения!$B$16)/1000</f>
        <v>0.0079769458915715</v>
      </c>
      <c r="H254" s="17" t="n">
        <f aca="false">E254*Допущения!$B$27</f>
        <v>5.10919431762069E-013</v>
      </c>
      <c r="I254" s="17" t="n">
        <f aca="false">F254*Допущения!$B$22/30*Допущения!$B$28</f>
        <v>0.000982018171516176</v>
      </c>
      <c r="J254" s="17" t="n">
        <f aca="false">G254*Допущения!$B$17+(H254+I254)*Допущения!$B$18</f>
        <v>0.0044794820317993</v>
      </c>
      <c r="K254" s="19" t="n">
        <f aca="false">K253+J254</f>
        <v>4.67124779077442</v>
      </c>
      <c r="L254" s="19" t="n">
        <f aca="false">L253+G254*Допущения!$B$17</f>
        <v>3.8544677343673</v>
      </c>
      <c r="M254" s="19" t="n">
        <f aca="false">M253+H254*Допущения!$B$18</f>
        <v>0.467499999997692</v>
      </c>
      <c r="N254" s="19" t="n">
        <f aca="false">N253+I254*Допущения!$B$18</f>
        <v>0.349280056409431</v>
      </c>
      <c r="O254" s="19" t="n">
        <f aca="false">O253+G254+H254+I254</f>
        <v>9.34249558154884</v>
      </c>
      <c r="P254" s="17" t="n">
        <f aca="false">P253+F254</f>
        <v>0.144218282287587</v>
      </c>
      <c r="Q254" s="6" t="n">
        <f aca="false">MIN(MATCH(A254,$S$3:$X$3,1),5)</f>
        <v>5</v>
      </c>
    </row>
    <row r="255" customFormat="false" ht="15" hidden="false" customHeight="false" outlineLevel="0" collapsed="false">
      <c r="A255" s="6" t="n">
        <v>248</v>
      </c>
      <c r="B255" s="14" t="n">
        <f aca="false">INDEX($S$4:$X$4,Q255)*(INDEX($S$4:$X$4,Q255+1)/INDEX($S$4:$X$4,Q255))^((LN(A255)-LN(INDEX($S$3:$X$3,Q255)))/(LN(INDEX($S$3:$X$3,Q255+1))-LN(INDEX($S$3:$X$3,Q255))))</f>
        <v>0.00806906123219914</v>
      </c>
      <c r="C255" s="33" t="n">
        <f aca="false">C254+B255</f>
        <v>7.84230586933183</v>
      </c>
      <c r="D255" s="36" t="n">
        <f aca="false">Допущения!$B$19*(1-EXP(-Допущения!$B$26*(A255+1)))</f>
        <v>0.00999999999995555</v>
      </c>
      <c r="E255" s="37" t="n">
        <f aca="false">D255-D254</f>
        <v>4.91967577787023E-015</v>
      </c>
      <c r="F255" s="37" t="n">
        <f aca="false">D255*MIN(1,B255*Допущения!$B$21)</f>
        <v>0.000201726530804082</v>
      </c>
      <c r="G255" s="17" t="n">
        <f aca="false">((B255-F255*Допущения!$B$23)*Допущения!$B$13*Допущения!$B$15+B255*Допущения!$B$14*Допущения!$B$16)/1000</f>
        <v>0.00793713208105273</v>
      </c>
      <c r="H255" s="17" t="n">
        <f aca="false">E255*Допущения!$B$27</f>
        <v>4.59989685230866E-013</v>
      </c>
      <c r="I255" s="17" t="n">
        <f aca="false">F255*Допущения!$B$22/30*Допущения!$B$28</f>
        <v>0.000977116811279522</v>
      </c>
      <c r="J255" s="17" t="n">
        <f aca="false">G255*Допущения!$B$17+(H255+I255)*Допущения!$B$18</f>
        <v>0.00445712444639612</v>
      </c>
      <c r="K255" s="19" t="n">
        <f aca="false">K254+J255</f>
        <v>4.67570491522081</v>
      </c>
      <c r="L255" s="19" t="n">
        <f aca="false">L254+G255*Допущения!$B$17</f>
        <v>3.85843630040783</v>
      </c>
      <c r="M255" s="19" t="n">
        <f aca="false">M254+H255*Допущения!$B$18</f>
        <v>0.467499999997922</v>
      </c>
      <c r="N255" s="19" t="n">
        <f aca="false">N254+I255*Допущения!$B$18</f>
        <v>0.349768614815071</v>
      </c>
      <c r="O255" s="19" t="n">
        <f aca="false">O254+G255+H255+I255</f>
        <v>9.35140983044163</v>
      </c>
      <c r="P255" s="17" t="n">
        <f aca="false">P254+F255</f>
        <v>0.144420008818391</v>
      </c>
      <c r="Q255" s="6" t="n">
        <f aca="false">MIN(MATCH(A255,$S$3:$X$3,1),5)</f>
        <v>5</v>
      </c>
    </row>
    <row r="256" customFormat="false" ht="15" hidden="false" customHeight="false" outlineLevel="0" collapsed="false">
      <c r="A256" s="6" t="n">
        <v>249</v>
      </c>
      <c r="B256" s="14" t="n">
        <f aca="false">INDEX($S$4:$X$4,Q256)*(INDEX($S$4:$X$4,Q256+1)/INDEX($S$4:$X$4,Q256))^((LN(A256)-LN(INDEX($S$3:$X$3,Q256)))/(LN(INDEX($S$3:$X$3,Q256+1))-LN(INDEX($S$3:$X$3,Q256))))</f>
        <v>0.00802894932754462</v>
      </c>
      <c r="C256" s="33" t="n">
        <f aca="false">C255+B256</f>
        <v>7.85033481865937</v>
      </c>
      <c r="D256" s="36" t="n">
        <f aca="false">Допущения!$B$19*(1-EXP(-Допущения!$B$26*(A256+1)))</f>
        <v>0.00999999999995998</v>
      </c>
      <c r="E256" s="37" t="n">
        <f aca="false">D256-D255</f>
        <v>4.43048375764477E-015</v>
      </c>
      <c r="F256" s="37" t="n">
        <f aca="false">D256*MIN(1,B256*Допущения!$B$21)</f>
        <v>0.000200723733187812</v>
      </c>
      <c r="G256" s="17" t="n">
        <f aca="false">((B256-F256*Допущения!$B$23)*Допущения!$B$13*Допущения!$B$15+B256*Допущения!$B$14*Допущения!$B$16)/1000</f>
        <v>0.00789767600603931</v>
      </c>
      <c r="H256" s="17" t="n">
        <f aca="false">E256*Допущения!$B$27</f>
        <v>4.14250231339786E-013</v>
      </c>
      <c r="I256" s="17" t="n">
        <f aca="false">F256*Допущения!$B$22/30*Допущения!$B$28</f>
        <v>0.00097225949080084</v>
      </c>
      <c r="J256" s="17" t="n">
        <f aca="false">G256*Допущения!$B$17+(H256+I256)*Допущения!$B$18</f>
        <v>0.0044349677486272</v>
      </c>
      <c r="K256" s="19" t="n">
        <f aca="false">K255+J256</f>
        <v>4.68013988296944</v>
      </c>
      <c r="L256" s="19" t="n">
        <f aca="false">L255+G256*Допущения!$B$17</f>
        <v>3.86238513841085</v>
      </c>
      <c r="M256" s="19" t="n">
        <f aca="false">M255+H256*Допущения!$B$18</f>
        <v>0.467499999998129</v>
      </c>
      <c r="N256" s="19" t="n">
        <f aca="false">N255+I256*Допущения!$B$18</f>
        <v>0.350254744560471</v>
      </c>
      <c r="O256" s="19" t="n">
        <f aca="false">O255+G256+H256+I256</f>
        <v>9.36027976593889</v>
      </c>
      <c r="P256" s="17" t="n">
        <f aca="false">P255+F256</f>
        <v>0.144620732551579</v>
      </c>
      <c r="Q256" s="6" t="n">
        <f aca="false">MIN(MATCH(A256,$S$3:$X$3,1),5)</f>
        <v>5</v>
      </c>
    </row>
    <row r="257" customFormat="false" ht="15" hidden="false" customHeight="false" outlineLevel="0" collapsed="false">
      <c r="A257" s="6" t="n">
        <v>250</v>
      </c>
      <c r="B257" s="14" t="n">
        <f aca="false">INDEX($S$4:$X$4,Q257)*(INDEX($S$4:$X$4,Q257+1)/INDEX($S$4:$X$4,Q257))^((LN(A257)-LN(INDEX($S$3:$X$3,Q257)))/(LN(INDEX($S$3:$X$3,Q257+1))-LN(INDEX($S$3:$X$3,Q257))))</f>
        <v>0.00798919639586851</v>
      </c>
      <c r="C257" s="33" t="n">
        <f aca="false">C256+B257</f>
        <v>7.85832401505524</v>
      </c>
      <c r="D257" s="36" t="n">
        <f aca="false">Допущения!$B$19*(1-EXP(-Допущения!$B$26*(A257+1)))</f>
        <v>0.00999999999996397</v>
      </c>
      <c r="E257" s="37" t="n">
        <f aca="false">D257-D256</f>
        <v>3.98812927127068E-015</v>
      </c>
      <c r="F257" s="37" t="n">
        <f aca="false">D257*MIN(1,B257*Допущения!$B$21)</f>
        <v>0.000199729909895993</v>
      </c>
      <c r="G257" s="17" t="n">
        <f aca="false">((B257-F257*Допущения!$B$23)*Допущения!$B$13*Допущения!$B$15+B257*Допущения!$B$14*Допущения!$B$16)/1000</f>
        <v>0.0078585730347961</v>
      </c>
      <c r="H257" s="17" t="n">
        <f aca="false">E257*Допущения!$B$27</f>
        <v>3.72890086863809E-013</v>
      </c>
      <c r="I257" s="17" t="n">
        <f aca="false">F257*Допущения!$B$22/30*Допущения!$B$28</f>
        <v>0.00096744563988095</v>
      </c>
      <c r="J257" s="17" t="n">
        <f aca="false">G257*Допущения!$B$17+(H257+I257)*Допущения!$B$18</f>
        <v>0.00441300933752497</v>
      </c>
      <c r="K257" s="19" t="n">
        <f aca="false">K256+J257</f>
        <v>4.68455289230696</v>
      </c>
      <c r="L257" s="19" t="n">
        <f aca="false">L256+G257*Допущения!$B$17</f>
        <v>3.86631442492824</v>
      </c>
      <c r="M257" s="19" t="n">
        <f aca="false">M256+H257*Допущения!$B$18</f>
        <v>0.467499999998316</v>
      </c>
      <c r="N257" s="19" t="n">
        <f aca="false">N256+I257*Допущения!$B$18</f>
        <v>0.350738467380412</v>
      </c>
      <c r="O257" s="19" t="n">
        <f aca="false">O256+G257+H257+I257</f>
        <v>9.36910578461394</v>
      </c>
      <c r="P257" s="17" t="n">
        <f aca="false">P256+F257</f>
        <v>0.144820462461475</v>
      </c>
      <c r="Q257" s="6" t="n">
        <f aca="false">MIN(MATCH(A257,$S$3:$X$3,1),5)</f>
        <v>5</v>
      </c>
    </row>
    <row r="258" customFormat="false" ht="15" hidden="false" customHeight="false" outlineLevel="0" collapsed="false">
      <c r="A258" s="6" t="n">
        <v>251</v>
      </c>
      <c r="B258" s="14" t="n">
        <f aca="false">INDEX($S$4:$X$4,Q258)*(INDEX($S$4:$X$4,Q258+1)/INDEX($S$4:$X$4,Q258))^((LN(A258)-LN(INDEX($S$3:$X$3,Q258)))/(LN(INDEX($S$3:$X$3,Q258+1))-LN(INDEX($S$3:$X$3,Q258))))</f>
        <v>0.00794979780792179</v>
      </c>
      <c r="C258" s="33" t="n">
        <f aca="false">C257+B258</f>
        <v>7.86627381286316</v>
      </c>
      <c r="D258" s="36" t="n">
        <f aca="false">Допущения!$B$19*(1-EXP(-Допущения!$B$26*(A258+1)))</f>
        <v>0.00999999999996756</v>
      </c>
      <c r="E258" s="37" t="n">
        <f aca="false">D258-D257</f>
        <v>3.59087759527199E-015</v>
      </c>
      <c r="F258" s="37" t="n">
        <f aca="false">D258*MIN(1,B258*Допущения!$B$21)</f>
        <v>0.0001987449451974</v>
      </c>
      <c r="G258" s="17" t="n">
        <f aca="false">((B258-F258*Допущения!$B$23)*Допущения!$B$13*Допущения!$B$15+B258*Допущения!$B$14*Допущения!$B$16)/1000</f>
        <v>0.0078198186137623</v>
      </c>
      <c r="H258" s="17" t="n">
        <f aca="false">E258*Допущения!$B$27</f>
        <v>3.35747055157931E-013</v>
      </c>
      <c r="I258" s="17" t="n">
        <f aca="false">F258*Допущения!$B$22/30*Допущения!$B$28</f>
        <v>0.000962674697944477</v>
      </c>
      <c r="J258" s="17" t="n">
        <f aca="false">G258*Допущения!$B$17+(H258+I258)*Допущения!$B$18</f>
        <v>0.00439124665602126</v>
      </c>
      <c r="K258" s="19" t="n">
        <f aca="false">K257+J258</f>
        <v>4.68894413896298</v>
      </c>
      <c r="L258" s="19" t="n">
        <f aca="false">L257+G258*Допущения!$B$17</f>
        <v>3.87022433423513</v>
      </c>
      <c r="M258" s="19" t="n">
        <f aca="false">M257+H258*Допущения!$B$18</f>
        <v>0.467499999998484</v>
      </c>
      <c r="N258" s="19" t="n">
        <f aca="false">N257+I258*Допущения!$B$18</f>
        <v>0.351219804729384</v>
      </c>
      <c r="O258" s="19" t="n">
        <f aca="false">O257+G258+H258+I258</f>
        <v>9.37788827792598</v>
      </c>
      <c r="P258" s="17" t="n">
        <f aca="false">P257+F258</f>
        <v>0.145019207406672</v>
      </c>
      <c r="Q258" s="6" t="n">
        <f aca="false">MIN(MATCH(A258,$S$3:$X$3,1),5)</f>
        <v>5</v>
      </c>
    </row>
    <row r="259" customFormat="false" ht="15" hidden="false" customHeight="false" outlineLevel="0" collapsed="false">
      <c r="A259" s="6" t="n">
        <v>252</v>
      </c>
      <c r="B259" s="14" t="n">
        <f aca="false">INDEX($S$4:$X$4,Q259)*(INDEX($S$4:$X$4,Q259+1)/INDEX($S$4:$X$4,Q259))^((LN(A259)-LN(INDEX($S$3:$X$3,Q259)))/(LN(INDEX($S$3:$X$3,Q259+1))-LN(INDEX($S$3:$X$3,Q259))))</f>
        <v>0.00791074901227788</v>
      </c>
      <c r="C259" s="33" t="n">
        <f aca="false">C258+B259</f>
        <v>7.87418456187544</v>
      </c>
      <c r="D259" s="36" t="n">
        <f aca="false">Допущения!$B$19*(1-EXP(-Допущения!$B$26*(A259+1)))</f>
        <v>0.00999999999997079</v>
      </c>
      <c r="E259" s="37" t="n">
        <f aca="false">D259-D258</f>
        <v>3.23178983574479E-015</v>
      </c>
      <c r="F259" s="37" t="n">
        <f aca="false">D259*MIN(1,B259*Допущения!$B$21)</f>
        <v>0.000197768725306369</v>
      </c>
      <c r="G259" s="17" t="n">
        <f aca="false">((B259-F259*Допущения!$B$23)*Допущения!$B$13*Допущения!$B$15+B259*Допущения!$B$14*Допущения!$B$16)/1000</f>
        <v>0.00778140826592717</v>
      </c>
      <c r="H259" s="17" t="n">
        <f aca="false">E259*Допущения!$B$27</f>
        <v>3.02172349642138E-013</v>
      </c>
      <c r="I259" s="17" t="n">
        <f aca="false">F259*Допущения!$B$22/30*Допущения!$B$28</f>
        <v>0.000957946113839901</v>
      </c>
      <c r="J259" s="17" t="n">
        <f aca="false">G259*Допущения!$B$17+(H259+I259)*Допущения!$B$18</f>
        <v>0.00436967719003462</v>
      </c>
      <c r="K259" s="19" t="n">
        <f aca="false">K258+J259</f>
        <v>4.69331381615302</v>
      </c>
      <c r="L259" s="19" t="n">
        <f aca="false">L258+G259*Допущения!$B$17</f>
        <v>3.87411503836809</v>
      </c>
      <c r="M259" s="19" t="n">
        <f aca="false">M258+H259*Допущения!$B$18</f>
        <v>0.467499999998635</v>
      </c>
      <c r="N259" s="19" t="n">
        <f aca="false">N258+I259*Допущения!$B$18</f>
        <v>0.351698777786304</v>
      </c>
      <c r="O259" s="19" t="n">
        <f aca="false">O258+G259+H259+I259</f>
        <v>9.38662763230605</v>
      </c>
      <c r="P259" s="17" t="n">
        <f aca="false">P258+F259</f>
        <v>0.145216976131979</v>
      </c>
      <c r="Q259" s="6" t="n">
        <f aca="false">MIN(MATCH(A259,$S$3:$X$3,1),5)</f>
        <v>5</v>
      </c>
    </row>
    <row r="260" customFormat="false" ht="15" hidden="false" customHeight="false" outlineLevel="0" collapsed="false">
      <c r="A260" s="6" t="n">
        <v>253</v>
      </c>
      <c r="B260" s="14" t="n">
        <f aca="false">INDEX($S$4:$X$4,Q260)*(INDEX($S$4:$X$4,Q260+1)/INDEX($S$4:$X$4,Q260))^((LN(A260)-LN(INDEX($S$3:$X$3,Q260)))/(LN(INDEX($S$3:$X$3,Q260+1))-LN(INDEX($S$3:$X$3,Q260))))</f>
        <v>0.00787204553372212</v>
      </c>
      <c r="C260" s="33" t="n">
        <f aca="false">C259+B260</f>
        <v>7.88205660740916</v>
      </c>
      <c r="D260" s="36" t="n">
        <f aca="false">Допущения!$B$19*(1-EXP(-Допущения!$B$26*(A260+1)))</f>
        <v>0.0099999999999737</v>
      </c>
      <c r="E260" s="37" t="n">
        <f aca="false">D260-D259</f>
        <v>2.91086599268908E-015</v>
      </c>
      <c r="F260" s="37" t="n">
        <f aca="false">D260*MIN(1,B260*Допущения!$B$21)</f>
        <v>0.000196801138342535</v>
      </c>
      <c r="G260" s="17" t="n">
        <f aca="false">((B260-F260*Допущения!$B$23)*Допущения!$B$13*Допущения!$B$15+B260*Допущения!$B$14*Допущения!$B$16)/1000</f>
        <v>0.00774333758924579</v>
      </c>
      <c r="H260" s="17" t="n">
        <f aca="false">E260*Допущения!$B$27</f>
        <v>2.72165970316429E-013</v>
      </c>
      <c r="I260" s="17" t="n">
        <f aca="false">F260*Допущения!$B$22/30*Допущения!$B$28</f>
        <v>0.000953259345644521</v>
      </c>
      <c r="J260" s="17" t="n">
        <f aca="false">G260*Допущения!$B$17+(H260+I260)*Допущения!$B$18</f>
        <v>0.00434829846758124</v>
      </c>
      <c r="K260" s="19" t="n">
        <f aca="false">K259+J260</f>
        <v>4.6976621146206</v>
      </c>
      <c r="L260" s="19" t="n">
        <f aca="false">L259+G260*Допущения!$B$17</f>
        <v>3.87798670716271</v>
      </c>
      <c r="M260" s="19" t="n">
        <f aca="false">M259+H260*Допущения!$B$18</f>
        <v>0.467499999998771</v>
      </c>
      <c r="N260" s="19" t="n">
        <f aca="false">N259+I260*Допущения!$B$18</f>
        <v>0.352175407459126</v>
      </c>
      <c r="O260" s="19" t="n">
        <f aca="false">O259+G260+H260+I260</f>
        <v>9.39532422924121</v>
      </c>
      <c r="P260" s="17" t="n">
        <f aca="false">P259+F260</f>
        <v>0.145413777270321</v>
      </c>
      <c r="Q260" s="6" t="n">
        <f aca="false">MIN(MATCH(A260,$S$3:$X$3,1),5)</f>
        <v>5</v>
      </c>
    </row>
    <row r="261" customFormat="false" ht="15" hidden="false" customHeight="false" outlineLevel="0" collapsed="false">
      <c r="A261" s="6" t="n">
        <v>254</v>
      </c>
      <c r="B261" s="14" t="n">
        <f aca="false">INDEX($S$4:$X$4,Q261)*(INDEX($S$4:$X$4,Q261+1)/INDEX($S$4:$X$4,Q261))^((LN(A261)-LN(INDEX($S$3:$X$3,Q261)))/(LN(INDEX($S$3:$X$3,Q261+1))-LN(INDEX($S$3:$X$3,Q261))))</f>
        <v>0.00783368297168071</v>
      </c>
      <c r="C261" s="33" t="n">
        <f aca="false">C260+B261</f>
        <v>7.88989029038084</v>
      </c>
      <c r="D261" s="36" t="n">
        <f aca="false">Допущения!$B$19*(1-EXP(-Допущения!$B$26*(A261+1)))</f>
        <v>0.00999999999997632</v>
      </c>
      <c r="E261" s="37" t="n">
        <f aca="false">D261-D260</f>
        <v>2.62116717220096E-015</v>
      </c>
      <c r="F261" s="37" t="n">
        <f aca="false">D261*MIN(1,B261*Допущения!$B$21)</f>
        <v>0.000195842074291554</v>
      </c>
      <c r="G261" s="17" t="n">
        <f aca="false">((B261-F261*Допущения!$B$23)*Допущения!$B$13*Допущения!$B$15+B261*Допущения!$B$14*Допущения!$B$16)/1000</f>
        <v>0.00770560225509375</v>
      </c>
      <c r="H261" s="17" t="n">
        <f aca="false">E261*Допущения!$B$27</f>
        <v>2.45079130600789E-013</v>
      </c>
      <c r="I261" s="17" t="n">
        <f aca="false">F261*Допущения!$B$22/30*Допущения!$B$28</f>
        <v>0.000948613860474214</v>
      </c>
      <c r="J261" s="17" t="n">
        <f aca="false">G261*Допущения!$B$17+(H261+I261)*Допущения!$B$18</f>
        <v>0.00432710805790652</v>
      </c>
      <c r="K261" s="19" t="n">
        <f aca="false">K260+J261</f>
        <v>4.70198922267851</v>
      </c>
      <c r="L261" s="19" t="n">
        <f aca="false">L260+G261*Допущения!$B$17</f>
        <v>3.88183950829026</v>
      </c>
      <c r="M261" s="19" t="n">
        <f aca="false">M260+H261*Допущения!$B$18</f>
        <v>0.467499999998893</v>
      </c>
      <c r="N261" s="19" t="n">
        <f aca="false">N260+I261*Допущения!$B$18</f>
        <v>0.352649714389363</v>
      </c>
      <c r="O261" s="19" t="n">
        <f aca="false">O260+G261+H261+I261</f>
        <v>9.40397844535703</v>
      </c>
      <c r="P261" s="17" t="n">
        <f aca="false">P260+F261</f>
        <v>0.145609619344613</v>
      </c>
      <c r="Q261" s="6" t="n">
        <f aca="false">MIN(MATCH(A261,$S$3:$X$3,1),5)</f>
        <v>5</v>
      </c>
    </row>
    <row r="262" customFormat="false" ht="15" hidden="false" customHeight="false" outlineLevel="0" collapsed="false">
      <c r="A262" s="6" t="n">
        <v>255</v>
      </c>
      <c r="B262" s="14" t="n">
        <f aca="false">INDEX($S$4:$X$4,Q262)*(INDEX($S$4:$X$4,Q262+1)/INDEX($S$4:$X$4,Q262))^((LN(A262)-LN(INDEX($S$3:$X$3,Q262)))/(LN(INDEX($S$3:$X$3,Q262+1))-LN(INDEX($S$3:$X$3,Q262))))</f>
        <v>0.00779565699868811</v>
      </c>
      <c r="C262" s="33" t="n">
        <f aca="false">C261+B262</f>
        <v>7.89768594737953</v>
      </c>
      <c r="D262" s="36" t="n">
        <f aca="false">Допущения!$B$19*(1-EXP(-Допущения!$B$26*(A262+1)))</f>
        <v>0.00999999999997868</v>
      </c>
      <c r="E262" s="37" t="n">
        <f aca="false">D262-D261</f>
        <v>2.35922392732846E-015</v>
      </c>
      <c r="F262" s="37" t="n">
        <f aca="false">D262*MIN(1,B262*Допущения!$B$21)</f>
        <v>0.000194891424966787</v>
      </c>
      <c r="G262" s="17" t="n">
        <f aca="false">((B262-F262*Допущения!$B$23)*Допущения!$B$13*Допущения!$B$15+B262*Допущения!$B$14*Допущения!$B$16)/1000</f>
        <v>0.00766819800675958</v>
      </c>
      <c r="H262" s="17" t="n">
        <f aca="false">E262*Допущения!$B$27</f>
        <v>2.20587437205211E-013</v>
      </c>
      <c r="I262" s="17" t="n">
        <f aca="false">F262*Допущения!$B$22/30*Допущения!$B$28</f>
        <v>0.000944009134297847</v>
      </c>
      <c r="J262" s="17" t="n">
        <f aca="false">G262*Допущения!$B$17+(H262+I262)*Допущения!$B$18</f>
        <v>0.00430610357063901</v>
      </c>
      <c r="K262" s="19" t="n">
        <f aca="false">K261+J262</f>
        <v>4.70629532624915</v>
      </c>
      <c r="L262" s="19" t="n">
        <f aca="false">L261+G262*Допущения!$B$17</f>
        <v>3.88567360729364</v>
      </c>
      <c r="M262" s="19" t="n">
        <f aca="false">M261+H262*Допущения!$B$18</f>
        <v>0.467499999999004</v>
      </c>
      <c r="N262" s="19" t="n">
        <f aca="false">N261+I262*Допущения!$B$18</f>
        <v>0.353121718956512</v>
      </c>
      <c r="O262" s="19" t="n">
        <f aca="false">O261+G262+H262+I262</f>
        <v>9.4125906524983</v>
      </c>
      <c r="P262" s="17" t="n">
        <f aca="false">P261+F262</f>
        <v>0.14580451076958</v>
      </c>
      <c r="Q262" s="6" t="n">
        <f aca="false">MIN(MATCH(A262,$S$3:$X$3,1),5)</f>
        <v>5</v>
      </c>
    </row>
    <row r="263" customFormat="false" ht="15" hidden="false" customHeight="false" outlineLevel="0" collapsed="false">
      <c r="A263" s="6" t="n">
        <v>256</v>
      </c>
      <c r="B263" s="14" t="n">
        <f aca="false">INDEX($S$4:$X$4,Q263)*(INDEX($S$4:$X$4,Q263+1)/INDEX($S$4:$X$4,Q263))^((LN(A263)-LN(INDEX($S$3:$X$3,Q263)))/(LN(INDEX($S$3:$X$3,Q263+1))-LN(INDEX($S$3:$X$3,Q263))))</f>
        <v>0.00775796335889177</v>
      </c>
      <c r="C263" s="33" t="n">
        <f aca="false">C262+B263</f>
        <v>7.90544391073842</v>
      </c>
      <c r="D263" s="36" t="n">
        <f aca="false">Допущения!$B$19*(1-EXP(-Допущения!$B$26*(A263+1)))</f>
        <v>0.00999999999998081</v>
      </c>
      <c r="E263" s="37" t="n">
        <f aca="false">D263-D262</f>
        <v>2.12503625807159E-015</v>
      </c>
      <c r="F263" s="37" t="n">
        <f aca="false">D263*MIN(1,B263*Допущения!$B$21)</f>
        <v>0.000193949083971922</v>
      </c>
      <c r="G263" s="17" t="n">
        <f aca="false">((B263-F263*Допущения!$B$23)*Допущения!$B$13*Допущения!$B$15+B263*Допущения!$B$14*Допущения!$B$16)/1000</f>
        <v>0.00763112065797391</v>
      </c>
      <c r="H263" s="17" t="n">
        <f aca="false">E263*Допущения!$B$27</f>
        <v>1.98690890129694E-013</v>
      </c>
      <c r="I263" s="17" t="n">
        <f aca="false">F263*Допущения!$B$22/30*Допущения!$B$28</f>
        <v>0.000939444651756209</v>
      </c>
      <c r="J263" s="17" t="n">
        <f aca="false">G263*Допущения!$B$17+(H263+I263)*Допущения!$B$18</f>
        <v>0.00428528265496441</v>
      </c>
      <c r="K263" s="19" t="n">
        <f aca="false">K262+J263</f>
        <v>4.71058060890411</v>
      </c>
      <c r="L263" s="19" t="n">
        <f aca="false">L262+G263*Допущения!$B$17</f>
        <v>3.88948916762263</v>
      </c>
      <c r="M263" s="19" t="n">
        <f aca="false">M262+H263*Допущения!$B$18</f>
        <v>0.467499999999103</v>
      </c>
      <c r="N263" s="19" t="n">
        <f aca="false">N262+I263*Допущения!$B$18</f>
        <v>0.35359144128239</v>
      </c>
      <c r="O263" s="19" t="n">
        <f aca="false">O262+G263+H263+I263</f>
        <v>9.42116121780823</v>
      </c>
      <c r="P263" s="17" t="n">
        <f aca="false">P262+F263</f>
        <v>0.145998459853551</v>
      </c>
      <c r="Q263" s="6" t="n">
        <f aca="false">MIN(MATCH(A263,$S$3:$X$3,1),5)</f>
        <v>5</v>
      </c>
    </row>
    <row r="264" customFormat="false" ht="15" hidden="false" customHeight="false" outlineLevel="0" collapsed="false">
      <c r="A264" s="6" t="n">
        <v>257</v>
      </c>
      <c r="B264" s="14" t="n">
        <f aca="false">INDEX($S$4:$X$4,Q264)*(INDEX($S$4:$X$4,Q264+1)/INDEX($S$4:$X$4,Q264))^((LN(A264)-LN(INDEX($S$3:$X$3,Q264)))/(LN(INDEX($S$3:$X$3,Q264+1))-LN(INDEX($S$3:$X$3,Q264))))</f>
        <v>0.00772059786659315</v>
      </c>
      <c r="C264" s="33" t="n">
        <f aca="false">C263+B264</f>
        <v>7.91316450860502</v>
      </c>
      <c r="D264" s="36" t="n">
        <f aca="false">Допущения!$B$19*(1-EXP(-Допущения!$B$26*(A264+1)))</f>
        <v>0.00999999999998272</v>
      </c>
      <c r="E264" s="37" t="n">
        <f aca="false">D264-D263</f>
        <v>1.91166527052644E-015</v>
      </c>
      <c r="F264" s="37" t="n">
        <f aca="false">D264*MIN(1,B264*Допущения!$B$21)</f>
        <v>0.000193014946664495</v>
      </c>
      <c r="G264" s="17" t="n">
        <f aca="false">((B264-F264*Допущения!$B$23)*Допущения!$B$13*Допущения!$B$15+B264*Допущения!$B$14*Допущения!$B$16)/1000</f>
        <v>0.00759436609147437</v>
      </c>
      <c r="H264" s="17" t="n">
        <f aca="false">E264*Допущения!$B$27</f>
        <v>1.78740702794222E-013</v>
      </c>
      <c r="I264" s="17" t="n">
        <f aca="false">F264*Допущения!$B$22/30*Допущения!$B$28</f>
        <v>0.000934919905985328</v>
      </c>
      <c r="J264" s="17" t="n">
        <f aca="false">G264*Допущения!$B$17+(H264+I264)*Допущения!$B$18</f>
        <v>0.00426464299881922</v>
      </c>
      <c r="K264" s="19" t="n">
        <f aca="false">K263+J264</f>
        <v>4.71484525190293</v>
      </c>
      <c r="L264" s="19" t="n">
        <f aca="false">L263+G264*Допущения!$B$17</f>
        <v>3.89328635066836</v>
      </c>
      <c r="M264" s="19" t="n">
        <f aca="false">M263+H264*Допущения!$B$18</f>
        <v>0.467499999999193</v>
      </c>
      <c r="N264" s="19" t="n">
        <f aca="false">N263+I264*Допущения!$B$18</f>
        <v>0.354058901235383</v>
      </c>
      <c r="O264" s="19" t="n">
        <f aca="false">O263+G264+H264+I264</f>
        <v>9.42969050380587</v>
      </c>
      <c r="P264" s="17" t="n">
        <f aca="false">P263+F264</f>
        <v>0.146191474800216</v>
      </c>
      <c r="Q264" s="6" t="n">
        <f aca="false">MIN(MATCH(A264,$S$3:$X$3,1),5)</f>
        <v>5</v>
      </c>
    </row>
    <row r="265" customFormat="false" ht="15" hidden="false" customHeight="false" outlineLevel="0" collapsed="false">
      <c r="A265" s="6" t="n">
        <v>258</v>
      </c>
      <c r="B265" s="14" t="n">
        <f aca="false">INDEX($S$4:$X$4,Q265)*(INDEX($S$4:$X$4,Q265+1)/INDEX($S$4:$X$4,Q265))^((LN(A265)-LN(INDEX($S$3:$X$3,Q265)))/(LN(INDEX($S$3:$X$3,Q265+1))-LN(INDEX($S$3:$X$3,Q265))))</f>
        <v>0.00768355640482397</v>
      </c>
      <c r="C265" s="33" t="n">
        <f aca="false">C264+B265</f>
        <v>7.92084806500984</v>
      </c>
      <c r="D265" s="36" t="n">
        <f aca="false">Допущения!$B$19*(1-EXP(-Допущения!$B$26*(A265+1)))</f>
        <v>0.00999999999998444</v>
      </c>
      <c r="E265" s="37" t="n">
        <f aca="false">D265-D264</f>
        <v>1.72258041164497E-015</v>
      </c>
      <c r="F265" s="37" t="n">
        <f aca="false">D265*MIN(1,B265*Допущения!$B$21)</f>
        <v>0.0001920889101203</v>
      </c>
      <c r="G265" s="17" t="n">
        <f aca="false">((B265-F265*Допущения!$B$23)*Допущения!$B$13*Допущения!$B$15+B265*Допущения!$B$14*Допущения!$B$16)/1000</f>
        <v>0.00755793025760511</v>
      </c>
      <c r="H265" s="17" t="n">
        <f aca="false">E265*Допущения!$B$27</f>
        <v>1.61061268488805E-013</v>
      </c>
      <c r="I265" s="17" t="n">
        <f aca="false">F265*Допущения!$B$22/30*Допущения!$B$28</f>
        <v>0.000930434398444078</v>
      </c>
      <c r="J265" s="17" t="n">
        <f aca="false">G265*Допущения!$B$17+(H265+I265)*Допущения!$B$18</f>
        <v>0.00424418232810513</v>
      </c>
      <c r="K265" s="19" t="n">
        <f aca="false">K264+J265</f>
        <v>4.71908943423103</v>
      </c>
      <c r="L265" s="19" t="n">
        <f aca="false">L264+G265*Допущения!$B$17</f>
        <v>3.89706531579717</v>
      </c>
      <c r="M265" s="19" t="n">
        <f aca="false">M264+H265*Допущения!$B$18</f>
        <v>0.467499999999273</v>
      </c>
      <c r="N265" s="19" t="n">
        <f aca="false">N264+I265*Допущения!$B$18</f>
        <v>0.354524118434605</v>
      </c>
      <c r="O265" s="19" t="n">
        <f aca="false">O264+G265+H265+I265</f>
        <v>9.43817886846208</v>
      </c>
      <c r="P265" s="17" t="n">
        <f aca="false">P264+F265</f>
        <v>0.146383563710336</v>
      </c>
      <c r="Q265" s="6" t="n">
        <f aca="false">MIN(MATCH(A265,$S$3:$X$3,1),5)</f>
        <v>5</v>
      </c>
    </row>
    <row r="266" customFormat="false" ht="15" hidden="false" customHeight="false" outlineLevel="0" collapsed="false">
      <c r="A266" s="6" t="n">
        <v>259</v>
      </c>
      <c r="B266" s="14" t="n">
        <f aca="false">INDEX($S$4:$X$4,Q266)*(INDEX($S$4:$X$4,Q266+1)/INDEX($S$4:$X$4,Q266))^((LN(A266)-LN(INDEX($S$3:$X$3,Q266)))/(LN(INDEX($S$3:$X$3,Q266+1))-LN(INDEX($S$3:$X$3,Q266))))</f>
        <v>0.00764683492395672</v>
      </c>
      <c r="C266" s="33" t="n">
        <f aca="false">C265+B266</f>
        <v>7.9284948999338</v>
      </c>
      <c r="D266" s="36" t="n">
        <f aca="false">Допущения!$B$19*(1-EXP(-Допущения!$B$26*(A266+1)))</f>
        <v>0.00999999999998599</v>
      </c>
      <c r="E266" s="37" t="n">
        <f aca="false">D266-D265</f>
        <v>1.55084278752327E-015</v>
      </c>
      <c r="F266" s="37" t="n">
        <f aca="false">D266*MIN(1,B266*Допущения!$B$21)</f>
        <v>0.00019117087309865</v>
      </c>
      <c r="G266" s="17" t="n">
        <f aca="false">((B266-F266*Допущения!$B$23)*Допущения!$B$13*Допущения!$B$15+B266*Допущения!$B$14*Допущения!$B$16)/1000</f>
        <v>0.00752180917295005</v>
      </c>
      <c r="H266" s="17" t="n">
        <f aca="false">E266*Допущения!$B$27</f>
        <v>1.45003800633425E-013</v>
      </c>
      <c r="I266" s="17" t="n">
        <f aca="false">F266*Допущения!$B$22/30*Допущения!$B$28</f>
        <v>0.000925987638745908</v>
      </c>
      <c r="J266" s="17" t="n">
        <f aca="false">G266*Допущения!$B$17+(H266+I266)*Допущения!$B$18</f>
        <v>0.00422389840592048</v>
      </c>
      <c r="K266" s="19" t="n">
        <f aca="false">K265+J266</f>
        <v>4.72331333263696</v>
      </c>
      <c r="L266" s="19" t="n">
        <f aca="false">L265+G266*Допущения!$B$17</f>
        <v>3.90082622038364</v>
      </c>
      <c r="M266" s="19" t="n">
        <f aca="false">M265+H266*Допущения!$B$18</f>
        <v>0.467499999999346</v>
      </c>
      <c r="N266" s="19" t="n">
        <f aca="false">N265+I266*Допущения!$B$18</f>
        <v>0.354987112253978</v>
      </c>
      <c r="O266" s="19" t="n">
        <f aca="false">O265+G266+H266+I266</f>
        <v>9.44662666527392</v>
      </c>
      <c r="P266" s="17" t="n">
        <f aca="false">P265+F266</f>
        <v>0.146574734583435</v>
      </c>
      <c r="Q266" s="6" t="n">
        <f aca="false">MIN(MATCH(A266,$S$3:$X$3,1),5)</f>
        <v>5</v>
      </c>
    </row>
    <row r="267" customFormat="false" ht="15" hidden="false" customHeight="false" outlineLevel="0" collapsed="false">
      <c r="A267" s="6" t="n">
        <v>260</v>
      </c>
      <c r="B267" s="14" t="n">
        <f aca="false">INDEX($S$4:$X$4,Q267)*(INDEX($S$4:$X$4,Q267+1)/INDEX($S$4:$X$4,Q267))^((LN(A267)-LN(INDEX($S$3:$X$3,Q267)))/(LN(INDEX($S$3:$X$3,Q267+1))-LN(INDEX($S$3:$X$3,Q267))))</f>
        <v>0.00761042944034858</v>
      </c>
      <c r="C267" s="33" t="n">
        <f aca="false">C266+B267</f>
        <v>7.93610532937414</v>
      </c>
      <c r="D267" s="36" t="n">
        <f aca="false">Допущения!$B$19*(1-EXP(-Допущения!$B$26*(A267+1)))</f>
        <v>0.00999999999998739</v>
      </c>
      <c r="E267" s="37" t="n">
        <f aca="false">D267-D266</f>
        <v>1.39645239816133E-015</v>
      </c>
      <c r="F267" s="37" t="n">
        <f aca="false">D267*MIN(1,B267*Допущения!$B$21)</f>
        <v>0.000190260736008475</v>
      </c>
      <c r="G267" s="17" t="n">
        <f aca="false">((B267-F267*Допущения!$B$23)*Допущения!$B$13*Допущения!$B$15+B267*Допущения!$B$14*Допущения!$B$16)/1000</f>
        <v>0.0074859989189989</v>
      </c>
      <c r="H267" s="17" t="n">
        <f aca="false">E267*Допущения!$B$27</f>
        <v>1.30568299228084E-013</v>
      </c>
      <c r="I267" s="17" t="n">
        <f aca="false">F267*Допущения!$B$22/30*Допущения!$B$28</f>
        <v>0.000921579144494632</v>
      </c>
      <c r="J267" s="17" t="n">
        <f aca="false">G267*Допущения!$B$17+(H267+I267)*Допущения!$B$18</f>
        <v>0.00420378903181205</v>
      </c>
      <c r="K267" s="19" t="n">
        <f aca="false">K266+J267</f>
        <v>4.72751712166877</v>
      </c>
      <c r="L267" s="19" t="n">
        <f aca="false">L266+G267*Допущения!$B$17</f>
        <v>3.90456921984314</v>
      </c>
      <c r="M267" s="19" t="n">
        <f aca="false">M266+H267*Допущения!$B$18</f>
        <v>0.467499999999411</v>
      </c>
      <c r="N267" s="19" t="n">
        <f aca="false">N266+I267*Допущения!$B$18</f>
        <v>0.355447901826225</v>
      </c>
      <c r="O267" s="19" t="n">
        <f aca="false">O266+G267+H267+I267</f>
        <v>9.45503424333755</v>
      </c>
      <c r="P267" s="17" t="n">
        <f aca="false">P266+F267</f>
        <v>0.146764995319443</v>
      </c>
      <c r="Q267" s="6" t="n">
        <f aca="false">MIN(MATCH(A267,$S$3:$X$3,1),5)</f>
        <v>5</v>
      </c>
    </row>
    <row r="268" customFormat="false" ht="15" hidden="false" customHeight="false" outlineLevel="0" collapsed="false">
      <c r="A268" s="6" t="n">
        <v>261</v>
      </c>
      <c r="B268" s="14" t="n">
        <f aca="false">INDEX($S$4:$X$4,Q268)*(INDEX($S$4:$X$4,Q268+1)/INDEX($S$4:$X$4,Q268))^((LN(A268)-LN(INDEX($S$3:$X$3,Q268)))/(LN(INDEX($S$3:$X$3,Q268+1))-LN(INDEX($S$3:$X$3,Q268))))</f>
        <v>0.00757433603501766</v>
      </c>
      <c r="C268" s="33" t="n">
        <f aca="false">C267+B268</f>
        <v>7.94367966540916</v>
      </c>
      <c r="D268" s="36" t="n">
        <f aca="false">Допущения!$B$19*(1-EXP(-Допущения!$B$26*(A268+1)))</f>
        <v>0.00999999999998865</v>
      </c>
      <c r="E268" s="37" t="n">
        <f aca="false">D268-D267</f>
        <v>1.25593979660721E-015</v>
      </c>
      <c r="F268" s="37" t="n">
        <f aca="false">D268*MIN(1,B268*Допущения!$B$21)</f>
        <v>0.000189358400875226</v>
      </c>
      <c r="G268" s="17" t="n">
        <f aca="false">((B268-F268*Допущения!$B$23)*Допущения!$B$13*Допущения!$B$15+B268*Допущения!$B$14*Допущения!$B$16)/1000</f>
        <v>0.00745049564084513</v>
      </c>
      <c r="H268" s="17" t="n">
        <f aca="false">E268*Допущения!$B$27</f>
        <v>1.17430370982774E-013</v>
      </c>
      <c r="I268" s="17" t="n">
        <f aca="false">F268*Допущения!$B$22/30*Допущения!$B$28</f>
        <v>0.00091720844112413</v>
      </c>
      <c r="J268" s="17" t="n">
        <f aca="false">G268*Допущения!$B$17+(H268+I268)*Допущения!$B$18</f>
        <v>0.00418385204104334</v>
      </c>
      <c r="K268" s="19" t="n">
        <f aca="false">K267+J268</f>
        <v>4.73170097370981</v>
      </c>
      <c r="L268" s="19" t="n">
        <f aca="false">L267+G268*Допущения!$B$17</f>
        <v>3.90829446766356</v>
      </c>
      <c r="M268" s="19" t="n">
        <f aca="false">M267+H268*Допущения!$B$18</f>
        <v>0.46749999999947</v>
      </c>
      <c r="N268" s="19" t="n">
        <f aca="false">N267+I268*Допущения!$B$18</f>
        <v>0.355906506046787</v>
      </c>
      <c r="O268" s="19" t="n">
        <f aca="false">O267+G268+H268+I268</f>
        <v>9.46340194741963</v>
      </c>
      <c r="P268" s="17" t="n">
        <f aca="false">P267+F268</f>
        <v>0.146954353720319</v>
      </c>
      <c r="Q268" s="6" t="n">
        <f aca="false">MIN(MATCH(A268,$S$3:$X$3,1),5)</f>
        <v>5</v>
      </c>
    </row>
    <row r="269" customFormat="false" ht="15" hidden="false" customHeight="false" outlineLevel="0" collapsed="false">
      <c r="A269" s="6" t="n">
        <v>262</v>
      </c>
      <c r="B269" s="14" t="n">
        <f aca="false">INDEX($S$4:$X$4,Q269)*(INDEX($S$4:$X$4,Q269+1)/INDEX($S$4:$X$4,Q269))^((LN(A269)-LN(INDEX($S$3:$X$3,Q269)))/(LN(INDEX($S$3:$X$3,Q269+1))-LN(INDEX($S$3:$X$3,Q269))))</f>
        <v>0.00753855085235075</v>
      </c>
      <c r="C269" s="33" t="n">
        <f aca="false">C268+B269</f>
        <v>7.95121821626151</v>
      </c>
      <c r="D269" s="36" t="n">
        <f aca="false">Допущения!$B$19*(1-EXP(-Допущения!$B$26*(A269+1)))</f>
        <v>0.00999999999998978</v>
      </c>
      <c r="E269" s="37" t="n">
        <f aca="false">D269-D268</f>
        <v>1.13103970633688E-015</v>
      </c>
      <c r="F269" s="37" t="n">
        <f aca="false">D269*MIN(1,B269*Допущения!$B$21)</f>
        <v>0.000188463771308576</v>
      </c>
      <c r="G269" s="17" t="n">
        <f aca="false">((B269-F269*Допущения!$B$23)*Допущения!$B$13*Допущения!$B$15+B269*Допущения!$B$14*Допущения!$B$16)/1000</f>
        <v>0.00741529554591483</v>
      </c>
      <c r="H269" s="17" t="n">
        <f aca="false">E269*Допущения!$B$27</f>
        <v>1.05752212542498E-013</v>
      </c>
      <c r="I269" s="17" t="n">
        <f aca="false">F269*Допущения!$B$22/30*Допущения!$B$28</f>
        <v>0.000912875061741868</v>
      </c>
      <c r="J269" s="17" t="n">
        <f aca="false">G269*Допущения!$B$17+(H269+I269)*Допущения!$B$18</f>
        <v>0.00416408530388122</v>
      </c>
      <c r="K269" s="19" t="n">
        <f aca="false">K268+J269</f>
        <v>4.73586505901369</v>
      </c>
      <c r="L269" s="19" t="n">
        <f aca="false">L268+G269*Допущения!$B$17</f>
        <v>3.91200211543652</v>
      </c>
      <c r="M269" s="19" t="n">
        <f aca="false">M268+H269*Допущения!$B$18</f>
        <v>0.467499999999522</v>
      </c>
      <c r="N269" s="19" t="n">
        <f aca="false">N268+I269*Допущения!$B$18</f>
        <v>0.356362943577658</v>
      </c>
      <c r="O269" s="19" t="n">
        <f aca="false">O268+G269+H269+I269</f>
        <v>9.4717301180274</v>
      </c>
      <c r="P269" s="17" t="n">
        <f aca="false">P268+F269</f>
        <v>0.147142817491627</v>
      </c>
      <c r="Q269" s="6" t="n">
        <f aca="false">MIN(MATCH(A269,$S$3:$X$3,1),5)</f>
        <v>5</v>
      </c>
    </row>
    <row r="270" customFormat="false" ht="15" hidden="false" customHeight="false" outlineLevel="0" collapsed="false">
      <c r="A270" s="6" t="n">
        <v>263</v>
      </c>
      <c r="B270" s="14" t="n">
        <f aca="false">INDEX($S$4:$X$4,Q270)*(INDEX($S$4:$X$4,Q270+1)/INDEX($S$4:$X$4,Q270))^((LN(A270)-LN(INDEX($S$3:$X$3,Q270)))/(LN(INDEX($S$3:$X$3,Q270+1))-LN(INDEX($S$3:$X$3,Q270))))</f>
        <v>0.00750307009884176</v>
      </c>
      <c r="C270" s="33" t="n">
        <f aca="false">C269+B270</f>
        <v>7.95872128636036</v>
      </c>
      <c r="D270" s="36" t="n">
        <f aca="false">Допущения!$B$19*(1-EXP(-Допущения!$B$26*(A270+1)))</f>
        <v>0.0099999999999908</v>
      </c>
      <c r="E270" s="37" t="n">
        <f aca="false">D270-D269</f>
        <v>1.02001740387436E-015</v>
      </c>
      <c r="F270" s="37" t="n">
        <f aca="false">D270*MIN(1,B270*Допущения!$B$21)</f>
        <v>0.000187576752470871</v>
      </c>
      <c r="G270" s="17" t="n">
        <f aca="false">((B270-F270*Допущения!$B$23)*Допущения!$B$13*Допущения!$B$15+B270*Допущения!$B$14*Допущения!$B$16)/1000</f>
        <v>0.00738039490272571</v>
      </c>
      <c r="H270" s="17" t="n">
        <f aca="false">E270*Допущения!$B$27</f>
        <v>9.53716272622529E-014</v>
      </c>
      <c r="I270" s="17" t="n">
        <f aca="false">F270*Допущения!$B$22/30*Допущения!$B$28</f>
        <v>0.00090857854697612</v>
      </c>
      <c r="J270" s="17" t="n">
        <f aca="false">G270*Допущения!$B$17+(H270+I270)*Допущения!$B$18</f>
        <v>0.0041444867248986</v>
      </c>
      <c r="K270" s="19" t="n">
        <f aca="false">K269+J270</f>
        <v>4.74000954573859</v>
      </c>
      <c r="L270" s="19" t="n">
        <f aca="false">L269+G270*Допущения!$B$17</f>
        <v>3.91569231288788</v>
      </c>
      <c r="M270" s="19" t="n">
        <f aca="false">M269+H270*Допущения!$B$18</f>
        <v>0.46749999999957</v>
      </c>
      <c r="N270" s="19" t="n">
        <f aca="false">N269+I270*Допущения!$B$18</f>
        <v>0.356817232851146</v>
      </c>
      <c r="O270" s="19" t="n">
        <f aca="false">O269+G270+H270+I270</f>
        <v>9.48001909147719</v>
      </c>
      <c r="P270" s="17" t="n">
        <f aca="false">P269+F270</f>
        <v>0.147330394244098</v>
      </c>
      <c r="Q270" s="6" t="n">
        <f aca="false">MIN(MATCH(A270,$S$3:$X$3,1),5)</f>
        <v>5</v>
      </c>
    </row>
    <row r="271" customFormat="false" ht="15" hidden="false" customHeight="false" outlineLevel="0" collapsed="false">
      <c r="A271" s="6" t="n">
        <v>264</v>
      </c>
      <c r="B271" s="14" t="n">
        <f aca="false">INDEX($S$4:$X$4,Q271)*(INDEX($S$4:$X$4,Q271+1)/INDEX($S$4:$X$4,Q271))^((LN(A271)-LN(INDEX($S$3:$X$3,Q271)))/(LN(INDEX($S$3:$X$3,Q271+1))-LN(INDEX($S$3:$X$3,Q271))))</f>
        <v>0.00746789004185992</v>
      </c>
      <c r="C271" s="33" t="n">
        <f aca="false">C270+B271</f>
        <v>7.96618917640222</v>
      </c>
      <c r="D271" s="36" t="n">
        <f aca="false">Допущения!$B$19*(1-EXP(-Допущения!$B$26*(A271+1)))</f>
        <v>0.00999999999999171</v>
      </c>
      <c r="E271" s="37" t="n">
        <f aca="false">D271-D270</f>
        <v>9.15933995315754E-016</v>
      </c>
      <c r="F271" s="37" t="n">
        <f aca="false">D271*MIN(1,B271*Допущения!$B$21)</f>
        <v>0.000186697251046343</v>
      </c>
      <c r="G271" s="17" t="n">
        <f aca="false">((B271-F271*Допущения!$B$23)*Допущения!$B$13*Допущения!$B$15+B271*Допущения!$B$14*Допущения!$B$16)/1000</f>
        <v>0.00734579003967552</v>
      </c>
      <c r="H271" s="17" t="n">
        <f aca="false">E271*Допущения!$B$27</f>
        <v>8.5639828562023E-014</v>
      </c>
      <c r="I271" s="17" t="n">
        <f aca="false">F271*Допущения!$B$22/30*Допущения!$B$28</f>
        <v>0.000904318444826812</v>
      </c>
      <c r="J271" s="17" t="n">
        <f aca="false">G271*Допущения!$B$17+(H271+I271)*Допущения!$B$18</f>
        <v>0.00412505424229399</v>
      </c>
      <c r="K271" s="19" t="n">
        <f aca="false">K270+J271</f>
        <v>4.74413459998089</v>
      </c>
      <c r="L271" s="19" t="n">
        <f aca="false">L270+G271*Допущения!$B$17</f>
        <v>3.91936520790772</v>
      </c>
      <c r="M271" s="19" t="n">
        <f aca="false">M270+H271*Допущения!$B$18</f>
        <v>0.467499999999613</v>
      </c>
      <c r="N271" s="19" t="n">
        <f aca="false">N270+I271*Допущения!$B$18</f>
        <v>0.35726939207356</v>
      </c>
      <c r="O271" s="19" t="n">
        <f aca="false">O270+G271+H271+I271</f>
        <v>9.48826919996178</v>
      </c>
      <c r="P271" s="17" t="n">
        <f aca="false">P270+F271</f>
        <v>0.147517091495144</v>
      </c>
      <c r="Q271" s="6" t="n">
        <f aca="false">MIN(MATCH(A271,$S$3:$X$3,1),5)</f>
        <v>5</v>
      </c>
    </row>
    <row r="272" customFormat="false" ht="15" hidden="false" customHeight="false" outlineLevel="0" collapsed="false">
      <c r="A272" s="6" t="n">
        <v>265</v>
      </c>
      <c r="B272" s="14" t="n">
        <f aca="false">INDEX($S$4:$X$4,Q272)*(INDEX($S$4:$X$4,Q272+1)/INDEX($S$4:$X$4,Q272))^((LN(A272)-LN(INDEX($S$3:$X$3,Q272)))/(LN(INDEX($S$3:$X$3,Q272+1))-LN(INDEX($S$3:$X$3,Q272))))</f>
        <v>0.00743300700844693</v>
      </c>
      <c r="C272" s="33" t="n">
        <f aca="false">C271+B272</f>
        <v>7.97362218341066</v>
      </c>
      <c r="D272" s="36" t="n">
        <f aca="false">Допущения!$B$19*(1-EXP(-Допущения!$B$26*(A272+1)))</f>
        <v>0.00999999999999254</v>
      </c>
      <c r="E272" s="37" t="n">
        <f aca="false">D272-D271</f>
        <v>8.27463098040937E-016</v>
      </c>
      <c r="F272" s="37" t="n">
        <f aca="false">D272*MIN(1,B272*Допущения!$B$21)</f>
        <v>0.000185825175211035</v>
      </c>
      <c r="G272" s="17" t="n">
        <f aca="false">((B272-F272*Допущения!$B$23)*Допущения!$B$13*Допущения!$B$15+B272*Допущения!$B$14*Допущения!$B$16)/1000</f>
        <v>0.00731147734385883</v>
      </c>
      <c r="H272" s="17" t="n">
        <f aca="false">E272*Допущения!$B$27</f>
        <v>7.73677996668276E-014</v>
      </c>
      <c r="I272" s="17" t="n">
        <f aca="false">F272*Допущения!$B$22/30*Допущения!$B$28</f>
        <v>0.000900094310519866</v>
      </c>
      <c r="J272" s="17" t="n">
        <f aca="false">G272*Допущения!$B$17+(H272+I272)*Допущения!$B$18</f>
        <v>0.00410578582722803</v>
      </c>
      <c r="K272" s="19" t="n">
        <f aca="false">K271+J272</f>
        <v>4.74824038580811</v>
      </c>
      <c r="L272" s="19" t="n">
        <f aca="false">L271+G272*Допущения!$B$17</f>
        <v>3.92302094657965</v>
      </c>
      <c r="M272" s="19" t="n">
        <f aca="false">M271+H272*Допущения!$B$18</f>
        <v>0.467499999999652</v>
      </c>
      <c r="N272" s="19" t="n">
        <f aca="false">N271+I272*Допущения!$B$18</f>
        <v>0.35771943922882</v>
      </c>
      <c r="O272" s="19" t="n">
        <f aca="false">O271+G272+H272+I272</f>
        <v>9.49648077161624</v>
      </c>
      <c r="P272" s="17" t="n">
        <f aca="false">P271+F272</f>
        <v>0.147702916670355</v>
      </c>
      <c r="Q272" s="6" t="n">
        <f aca="false">MIN(MATCH(A272,$S$3:$X$3,1),5)</f>
        <v>5</v>
      </c>
    </row>
    <row r="273" customFormat="false" ht="15" hidden="false" customHeight="false" outlineLevel="0" collapsed="false">
      <c r="A273" s="6" t="n">
        <v>266</v>
      </c>
      <c r="B273" s="14" t="n">
        <f aca="false">INDEX($S$4:$X$4,Q273)*(INDEX($S$4:$X$4,Q273+1)/INDEX($S$4:$X$4,Q273))^((LN(A273)-LN(INDEX($S$3:$X$3,Q273)))/(LN(INDEX($S$3:$X$3,Q273+1))-LN(INDEX($S$3:$X$3,Q273))))</f>
        <v>0.00739841738414238</v>
      </c>
      <c r="C273" s="33" t="n">
        <f aca="false">C272+B273</f>
        <v>7.9810206007948</v>
      </c>
      <c r="D273" s="36" t="n">
        <f aca="false">Допущения!$B$19*(1-EXP(-Допущения!$B$26*(A273+1)))</f>
        <v>0.00999999999999328</v>
      </c>
      <c r="E273" s="37" t="n">
        <f aca="false">D273-D272</f>
        <v>7.42461647718073E-016</v>
      </c>
      <c r="F273" s="37" t="n">
        <f aca="false">D273*MIN(1,B273*Допущения!$B$21)</f>
        <v>0.000184960434603435</v>
      </c>
      <c r="G273" s="17" t="n">
        <f aca="false">((B273-F273*Допущения!$B$23)*Допущения!$B$13*Допущения!$B$15+B273*Допущения!$B$14*Допущения!$B$16)/1000</f>
        <v>0.00727745325991166</v>
      </c>
      <c r="H273" s="17" t="n">
        <f aca="false">E273*Допущения!$B$27</f>
        <v>6.94201640616399E-014</v>
      </c>
      <c r="I273" s="17" t="n">
        <f aca="false">F273*Допущения!$B$22/30*Допущения!$B$28</f>
        <v>0.000895905706364958</v>
      </c>
      <c r="J273" s="17" t="n">
        <f aca="false">G273*Допущения!$B$17+(H273+I273)*Допущения!$B$18</f>
        <v>0.00408667948317302</v>
      </c>
      <c r="K273" s="19" t="n">
        <f aca="false">K272+J273</f>
        <v>4.75232706529129</v>
      </c>
      <c r="L273" s="19" t="n">
        <f aca="false">L272+G273*Допущения!$B$17</f>
        <v>3.92665967320961</v>
      </c>
      <c r="M273" s="19" t="n">
        <f aca="false">M272+H273*Допущения!$B$18</f>
        <v>0.467499999999686</v>
      </c>
      <c r="N273" s="19" t="n">
        <f aca="false">N272+I273*Допущения!$B$18</f>
        <v>0.358167392082002</v>
      </c>
      <c r="O273" s="19" t="n">
        <f aca="false">O272+G273+H273+I273</f>
        <v>9.50465413058258</v>
      </c>
      <c r="P273" s="17" t="n">
        <f aca="false">P272+F273</f>
        <v>0.147887877104959</v>
      </c>
      <c r="Q273" s="6" t="n">
        <f aca="false">MIN(MATCH(A273,$S$3:$X$3,1),5)</f>
        <v>5</v>
      </c>
    </row>
    <row r="274" customFormat="false" ht="15" hidden="false" customHeight="false" outlineLevel="0" collapsed="false">
      <c r="A274" s="6" t="n">
        <v>267</v>
      </c>
      <c r="B274" s="14" t="n">
        <f aca="false">INDEX($S$4:$X$4,Q274)*(INDEX($S$4:$X$4,Q274+1)/INDEX($S$4:$X$4,Q274))^((LN(A274)-LN(INDEX($S$3:$X$3,Q274)))/(LN(INDEX($S$3:$X$3,Q274+1))-LN(INDEX($S$3:$X$3,Q274))))</f>
        <v>0.0073641176118366</v>
      </c>
      <c r="C274" s="33" t="n">
        <f aca="false">C273+B274</f>
        <v>7.98838471840664</v>
      </c>
      <c r="D274" s="36" t="n">
        <f aca="false">Допущения!$B$19*(1-EXP(-Допущения!$B$26*(A274+1)))</f>
        <v>0.00999999999999395</v>
      </c>
      <c r="E274" s="37" t="n">
        <f aca="false">D274-D273</f>
        <v>6.69603261727048E-016</v>
      </c>
      <c r="F274" s="37" t="n">
        <f aca="false">D274*MIN(1,B274*Допущения!$B$21)</f>
        <v>0.000184102940295804</v>
      </c>
      <c r="G274" s="17" t="n">
        <f aca="false">((B274-F274*Допущения!$B$23)*Допущения!$B$13*Допущения!$B$15+B274*Допущения!$B$14*Допущения!$B$16)/1000</f>
        <v>0.00724371428888308</v>
      </c>
      <c r="H274" s="17" t="n">
        <f aca="false">E274*Допущения!$B$27</f>
        <v>6.26079049714789E-014</v>
      </c>
      <c r="I274" s="17" t="n">
        <f aca="false">F274*Допущения!$B$22/30*Допущения!$B$28</f>
        <v>0.000891752201616605</v>
      </c>
      <c r="J274" s="17" t="n">
        <f aca="false">G274*Допущения!$B$17+(H274+I274)*Допущения!$B$18</f>
        <v>0.00406773324528115</v>
      </c>
      <c r="K274" s="19" t="n">
        <f aca="false">K273+J274</f>
        <v>4.75639479853657</v>
      </c>
      <c r="L274" s="19" t="n">
        <f aca="false">L273+G274*Допущения!$B$17</f>
        <v>3.93028153035405</v>
      </c>
      <c r="M274" s="19" t="n">
        <f aca="false">M273+H274*Допущения!$B$18</f>
        <v>0.467499999999718</v>
      </c>
      <c r="N274" s="19" t="n">
        <f aca="false">N273+I274*Допущения!$B$18</f>
        <v>0.35861326818281</v>
      </c>
      <c r="O274" s="19" t="n">
        <f aca="false">O273+G274+H274+I274</f>
        <v>9.51278959707314</v>
      </c>
      <c r="P274" s="17" t="n">
        <f aca="false">P273+F274</f>
        <v>0.148071980045255</v>
      </c>
      <c r="Q274" s="6" t="n">
        <f aca="false">MIN(MATCH(A274,$S$3:$X$3,1),5)</f>
        <v>5</v>
      </c>
    </row>
    <row r="275" customFormat="false" ht="15" hidden="false" customHeight="false" outlineLevel="0" collapsed="false">
      <c r="A275" s="6" t="n">
        <v>268</v>
      </c>
      <c r="B275" s="14" t="n">
        <f aca="false">INDEX($S$4:$X$4,Q275)*(INDEX($S$4:$X$4,Q275+1)/INDEX($S$4:$X$4,Q275))^((LN(A275)-LN(INDEX($S$3:$X$3,Q275)))/(LN(INDEX($S$3:$X$3,Q275+1))-LN(INDEX($S$3:$X$3,Q275))))</f>
        <v>0.00733010419065009</v>
      </c>
      <c r="C275" s="33" t="n">
        <f aca="false">C274+B275</f>
        <v>7.99571482259729</v>
      </c>
      <c r="D275" s="36" t="n">
        <f aca="false">Допущения!$B$19*(1-EXP(-Допущения!$B$26*(A275+1)))</f>
        <v>0.00999999999999456</v>
      </c>
      <c r="E275" s="37" t="n">
        <f aca="false">D275-D274</f>
        <v>6.03683769639929E-016</v>
      </c>
      <c r="F275" s="37" t="n">
        <f aca="false">D275*MIN(1,B275*Допущения!$B$21)</f>
        <v>0.000183252604766153</v>
      </c>
      <c r="G275" s="17" t="n">
        <f aca="false">((B275-F275*Допущения!$B$23)*Допущения!$B$13*Допущения!$B$15+B275*Допущения!$B$14*Допущения!$B$16)/1000</f>
        <v>0.00721025698713297</v>
      </c>
      <c r="H275" s="17" t="n">
        <f aca="false">E275*Допущения!$B$27</f>
        <v>5.64444324613334E-014</v>
      </c>
      <c r="I275" s="17" t="n">
        <f aca="false">F275*Допущения!$B$22/30*Допущения!$B$28</f>
        <v>0.000887633372338481</v>
      </c>
      <c r="J275" s="17" t="n">
        <f aca="false">G275*Допущения!$B$17+(H275+I275)*Допущения!$B$18</f>
        <v>0.00404894517976395</v>
      </c>
      <c r="K275" s="19" t="n">
        <f aca="false">K274+J275</f>
        <v>4.76044374371633</v>
      </c>
      <c r="L275" s="19" t="n">
        <f aca="false">L274+G275*Допущения!$B$17</f>
        <v>3.93388665884761</v>
      </c>
      <c r="M275" s="19" t="n">
        <f aca="false">M274+H275*Допущения!$B$18</f>
        <v>0.467499999999746</v>
      </c>
      <c r="N275" s="19" t="n">
        <f aca="false">N274+I275*Допущения!$B$18</f>
        <v>0.35905708486898</v>
      </c>
      <c r="O275" s="19" t="n">
        <f aca="false">O274+G275+H275+I275</f>
        <v>9.52088748743267</v>
      </c>
      <c r="P275" s="17" t="n">
        <f aca="false">P274+F275</f>
        <v>0.148255232650021</v>
      </c>
      <c r="Q275" s="6" t="n">
        <f aca="false">MIN(MATCH(A275,$S$3:$X$3,1),5)</f>
        <v>5</v>
      </c>
    </row>
    <row r="276" customFormat="false" ht="15" hidden="false" customHeight="false" outlineLevel="0" collapsed="false">
      <c r="A276" s="6" t="n">
        <v>269</v>
      </c>
      <c r="B276" s="14" t="n">
        <f aca="false">INDEX($S$4:$X$4,Q276)*(INDEX($S$4:$X$4,Q276+1)/INDEX($S$4:$X$4,Q276))^((LN(A276)-LN(INDEX($S$3:$X$3,Q276)))/(LN(INDEX($S$3:$X$3,Q276+1))-LN(INDEX($S$3:$X$3,Q276))))</f>
        <v>0.00729637367483907</v>
      </c>
      <c r="C276" s="33" t="n">
        <f aca="false">C275+B276</f>
        <v>8.00301119627213</v>
      </c>
      <c r="D276" s="36" t="n">
        <f aca="false">Допущения!$B$19*(1-EXP(-Допущения!$B$26*(A276+1)))</f>
        <v>0.0099999999999951</v>
      </c>
      <c r="E276" s="37" t="n">
        <f aca="false">D276-D275</f>
        <v>5.42968447980741E-016</v>
      </c>
      <c r="F276" s="37" t="n">
        <f aca="false">D276*MIN(1,B276*Допущения!$B$21)</f>
        <v>0.000182409341870887</v>
      </c>
      <c r="G276" s="17" t="n">
        <f aca="false">((B276-F276*Допущения!$B$23)*Допущения!$B$13*Допущения!$B$15+B276*Допущения!$B$14*Допущения!$B$16)/1000</f>
        <v>0.00717707796525546</v>
      </c>
      <c r="H276" s="17" t="n">
        <f aca="false">E276*Допущения!$B$27</f>
        <v>5.07675498861993E-014</v>
      </c>
      <c r="I276" s="17" t="n">
        <f aca="false">F276*Допущения!$B$22/30*Допущения!$B$28</f>
        <v>0.00088354880127087</v>
      </c>
      <c r="J276" s="17" t="n">
        <f aca="false">G276*Допущения!$B$17+(H276+I276)*Допущения!$B$18</f>
        <v>0.00403031338328855</v>
      </c>
      <c r="K276" s="19" t="n">
        <f aca="false">K275+J276</f>
        <v>4.76447405709962</v>
      </c>
      <c r="L276" s="19" t="n">
        <f aca="false">L275+G276*Допущения!$B$17</f>
        <v>3.93747519783024</v>
      </c>
      <c r="M276" s="19" t="n">
        <f aca="false">M275+H276*Допущения!$B$18</f>
        <v>0.467499999999771</v>
      </c>
      <c r="N276" s="19" t="n">
        <f aca="false">N275+I276*Допущения!$B$18</f>
        <v>0.359498859269615</v>
      </c>
      <c r="O276" s="19" t="n">
        <f aca="false">O275+G276+H276+I276</f>
        <v>9.52894811419925</v>
      </c>
      <c r="P276" s="17" t="n">
        <f aca="false">P275+F276</f>
        <v>0.148437641991892</v>
      </c>
      <c r="Q276" s="6" t="n">
        <f aca="false">MIN(MATCH(A276,$S$3:$X$3,1),5)</f>
        <v>5</v>
      </c>
    </row>
    <row r="277" customFormat="false" ht="15" hidden="false" customHeight="false" outlineLevel="0" collapsed="false">
      <c r="A277" s="6" t="n">
        <v>270</v>
      </c>
      <c r="B277" s="14" t="n">
        <f aca="false">INDEX($S$4:$X$4,Q277)*(INDEX($S$4:$X$4,Q277+1)/INDEX($S$4:$X$4,Q277))^((LN(A277)-LN(INDEX($S$3:$X$3,Q277)))/(LN(INDEX($S$3:$X$3,Q277+1))-LN(INDEX($S$3:$X$3,Q277))))</f>
        <v>0.00726292267272622</v>
      </c>
      <c r="C277" s="33" t="n">
        <f aca="false">C276+B277</f>
        <v>8.01027411894486</v>
      </c>
      <c r="D277" s="36" t="n">
        <f aca="false">Допущения!$B$19*(1-EXP(-Допущения!$B$26*(A277+1)))</f>
        <v>0.00999999999999559</v>
      </c>
      <c r="E277" s="37" t="n">
        <f aca="false">D277-D276</f>
        <v>4.87457296749483E-016</v>
      </c>
      <c r="F277" s="37" t="n">
        <f aca="false">D277*MIN(1,B277*Допущения!$B$21)</f>
        <v>0.000181573066818075</v>
      </c>
      <c r="G277" s="17" t="n">
        <f aca="false">((B277-F277*Допущения!$B$23)*Допущения!$B$13*Допущения!$B$15+B277*Допущения!$B$14*Допущения!$B$16)/1000</f>
        <v>0.00714417388702715</v>
      </c>
      <c r="H277" s="17" t="n">
        <f aca="false">E277*Допущения!$B$27</f>
        <v>4.55772572460766E-014</v>
      </c>
      <c r="I277" s="17" t="n">
        <f aca="false">F277*Допущения!$B$22/30*Допущения!$B$28</f>
        <v>0.000879498077701197</v>
      </c>
      <c r="J277" s="17" t="n">
        <f aca="false">G277*Допущения!$B$17+(H277+I277)*Допущения!$B$18</f>
        <v>0.00401183598238696</v>
      </c>
      <c r="K277" s="19" t="n">
        <f aca="false">K276+J277</f>
        <v>4.76848589308201</v>
      </c>
      <c r="L277" s="19" t="n">
        <f aca="false">L276+G277*Допущения!$B$17</f>
        <v>3.94104728477376</v>
      </c>
      <c r="M277" s="19" t="n">
        <f aca="false">M276+H277*Допущения!$B$18</f>
        <v>0.467499999999794</v>
      </c>
      <c r="N277" s="19" t="n">
        <f aca="false">N276+I277*Допущения!$B$18</f>
        <v>0.359938608308466</v>
      </c>
      <c r="O277" s="19" t="n">
        <f aca="false">O276+G277+H277+I277</f>
        <v>9.53697178616402</v>
      </c>
      <c r="P277" s="17" t="n">
        <f aca="false">P276+F277</f>
        <v>0.14861921505871</v>
      </c>
      <c r="Q277" s="6" t="n">
        <f aca="false">MIN(MATCH(A277,$S$3:$X$3,1),5)</f>
        <v>5</v>
      </c>
    </row>
    <row r="278" customFormat="false" ht="15" hidden="false" customHeight="false" outlineLevel="0" collapsed="false">
      <c r="A278" s="6" t="n">
        <v>271</v>
      </c>
      <c r="B278" s="14" t="n">
        <f aca="false">INDEX($S$4:$X$4,Q278)*(INDEX($S$4:$X$4,Q278+1)/INDEX($S$4:$X$4,Q278))^((LN(A278)-LN(INDEX($S$3:$X$3,Q278)))/(LN(INDEX($S$3:$X$3,Q278+1))-LN(INDEX($S$3:$X$3,Q278))))</f>
        <v>0.00722974784565602</v>
      </c>
      <c r="C278" s="33" t="n">
        <f aca="false">C277+B278</f>
        <v>8.01750386679051</v>
      </c>
      <c r="D278" s="36" t="n">
        <f aca="false">Допущения!$B$19*(1-EXP(-Допущения!$B$26*(A278+1)))</f>
        <v>0.00999999999999603</v>
      </c>
      <c r="E278" s="37" t="n">
        <f aca="false">D278-D277</f>
        <v>4.40619762898109E-016</v>
      </c>
      <c r="F278" s="37" t="n">
        <f aca="false">D278*MIN(1,B278*Допущения!$B$21)</f>
        <v>0.000180743696141329</v>
      </c>
      <c r="G278" s="17" t="n">
        <f aca="false">((B278-F278*Допущения!$B$23)*Допущения!$B$13*Допущения!$B$15+B278*Допущения!$B$14*Допущения!$B$16)/1000</f>
        <v>0.00711154146837955</v>
      </c>
      <c r="H278" s="17" t="n">
        <f aca="false">E278*Допущения!$B$27</f>
        <v>4.11979478309732E-014</v>
      </c>
      <c r="I278" s="17" t="n">
        <f aca="false">F278*Допущения!$B$22/30*Допущения!$B$28</f>
        <v>0.000875480797337523</v>
      </c>
      <c r="J278" s="17" t="n">
        <f aca="false">G278*Допущения!$B$17+(H278+I278)*Допущения!$B$18</f>
        <v>0.00399351113287914</v>
      </c>
      <c r="K278" s="19" t="n">
        <f aca="false">K277+J278</f>
        <v>4.77247940421489</v>
      </c>
      <c r="L278" s="19" t="n">
        <f aca="false">L277+G278*Допущения!$B$17</f>
        <v>3.94460305550794</v>
      </c>
      <c r="M278" s="19" t="n">
        <f aca="false">M277+H278*Допущения!$B$18</f>
        <v>0.467499999999815</v>
      </c>
      <c r="N278" s="19" t="n">
        <f aca="false">N277+I278*Допущения!$B$18</f>
        <v>0.360376348707134</v>
      </c>
      <c r="O278" s="19" t="n">
        <f aca="false">O277+G278+H278+I278</f>
        <v>9.54495880842978</v>
      </c>
      <c r="P278" s="17" t="n">
        <f aca="false">P277+F278</f>
        <v>0.148799958754851</v>
      </c>
      <c r="Q278" s="6" t="n">
        <f aca="false">MIN(MATCH(A278,$S$3:$X$3,1),5)</f>
        <v>5</v>
      </c>
    </row>
    <row r="279" customFormat="false" ht="15" hidden="false" customHeight="false" outlineLevel="0" collapsed="false">
      <c r="A279" s="6" t="n">
        <v>272</v>
      </c>
      <c r="B279" s="14" t="n">
        <f aca="false">INDEX($S$4:$X$4,Q279)*(INDEX($S$4:$X$4,Q279+1)/INDEX($S$4:$X$4,Q279))^((LN(A279)-LN(INDEX($S$3:$X$3,Q279)))/(LN(INDEX($S$3:$X$3,Q279+1))-LN(INDEX($S$3:$X$3,Q279))))</f>
        <v>0.00719684590697412</v>
      </c>
      <c r="C279" s="33" t="n">
        <f aca="false">C278+B279</f>
        <v>8.02470071269749</v>
      </c>
      <c r="D279" s="36" t="n">
        <f aca="false">Допущения!$B$19*(1-EXP(-Допущения!$B$26*(A279+1)))</f>
        <v>0.00999999999999642</v>
      </c>
      <c r="E279" s="37" t="n">
        <f aca="false">D279-D278</f>
        <v>3.95516952522712E-016</v>
      </c>
      <c r="F279" s="37" t="n">
        <f aca="false">D279*MIN(1,B279*Допущения!$B$21)</f>
        <v>0.000179921147674289</v>
      </c>
      <c r="G279" s="17" t="n">
        <f aca="false">((B279-F279*Допущения!$B$23)*Допущения!$B$13*Допущения!$B$15+B279*Допущения!$B$14*Допущения!$B$16)/1000</f>
        <v>0.00707917747639509</v>
      </c>
      <c r="H279" s="17" t="n">
        <f aca="false">E279*Допущения!$B$27</f>
        <v>3.69808350608736E-014</v>
      </c>
      <c r="I279" s="17" t="n">
        <f aca="false">F279*Допущения!$B$22/30*Допущения!$B$28</f>
        <v>0.000871496562184945</v>
      </c>
      <c r="J279" s="17" t="n">
        <f aca="false">G279*Допущения!$B$17+(H279+I279)*Допущения!$B$18</f>
        <v>0.00397533701930851</v>
      </c>
      <c r="K279" s="19" t="n">
        <f aca="false">K278+J279</f>
        <v>4.77645474123419</v>
      </c>
      <c r="L279" s="19" t="n">
        <f aca="false">L278+G279*Допущения!$B$17</f>
        <v>3.94814264424614</v>
      </c>
      <c r="M279" s="19" t="n">
        <f aca="false">M278+H279*Допущения!$B$18</f>
        <v>0.467499999999833</v>
      </c>
      <c r="N279" s="19" t="n">
        <f aca="false">N278+I279*Допущения!$B$18</f>
        <v>0.360812096988227</v>
      </c>
      <c r="O279" s="19" t="n">
        <f aca="false">O278+G279+H279+I279</f>
        <v>9.5529094824684</v>
      </c>
      <c r="P279" s="17" t="n">
        <f aca="false">P278+F279</f>
        <v>0.148979879902525</v>
      </c>
      <c r="Q279" s="6" t="n">
        <f aca="false">MIN(MATCH(A279,$S$3:$X$3,1),5)</f>
        <v>5</v>
      </c>
    </row>
    <row r="280" customFormat="false" ht="15" hidden="false" customHeight="false" outlineLevel="0" collapsed="false">
      <c r="A280" s="6" t="n">
        <v>273</v>
      </c>
      <c r="B280" s="14" t="n">
        <f aca="false">INDEX($S$4:$X$4,Q280)*(INDEX($S$4:$X$4,Q280+1)/INDEX($S$4:$X$4,Q280))^((LN(A280)-LN(INDEX($S$3:$X$3,Q280)))/(LN(INDEX($S$3:$X$3,Q280+1))-LN(INDEX($S$3:$X$3,Q280))))</f>
        <v>0.00716421362102991</v>
      </c>
      <c r="C280" s="33" t="n">
        <f aca="false">C279+B280</f>
        <v>8.03186492631852</v>
      </c>
      <c r="D280" s="36" t="n">
        <f aca="false">Допущения!$B$19*(1-EXP(-Допущения!$B$26*(A280+1)))</f>
        <v>0.00999999999999678</v>
      </c>
      <c r="E280" s="37" t="n">
        <f aca="false">D280-D279</f>
        <v>3.57353036051222E-016</v>
      </c>
      <c r="F280" s="37" t="n">
        <f aca="false">D280*MIN(1,B280*Допущения!$B$21)</f>
        <v>0.00017910534052569</v>
      </c>
      <c r="G280" s="17" t="n">
        <f aca="false">((B280-F280*Допущения!$B$23)*Допущения!$B$13*Допущения!$B$15+B280*Допущения!$B$14*Допущения!$B$16)/1000</f>
        <v>0.00704707872832607</v>
      </c>
      <c r="H280" s="17" t="n">
        <f aca="false">E280*Допущения!$B$27</f>
        <v>3.34125088707893E-014</v>
      </c>
      <c r="I280" s="17" t="n">
        <f aca="false">F280*Допущения!$B$22/30*Допущения!$B$28</f>
        <v>0.000867544980424826</v>
      </c>
      <c r="J280" s="17" t="n">
        <f aca="false">G280*Допущения!$B$17+(H280+I280)*Допущения!$B$18</f>
        <v>0.00395731185439215</v>
      </c>
      <c r="K280" s="19" t="n">
        <f aca="false">K279+J280</f>
        <v>4.78041205308859</v>
      </c>
      <c r="L280" s="19" t="n">
        <f aca="false">L279+G280*Допущения!$B$17</f>
        <v>3.95166618361031</v>
      </c>
      <c r="M280" s="19" t="n">
        <f aca="false">M279+H280*Допущения!$B$18</f>
        <v>0.46749999999985</v>
      </c>
      <c r="N280" s="19" t="n">
        <f aca="false">N279+I280*Допущения!$B$18</f>
        <v>0.361245869478439</v>
      </c>
      <c r="O280" s="19" t="n">
        <f aca="false">O279+G280+H280+I280</f>
        <v>9.56082410617718</v>
      </c>
      <c r="P280" s="17" t="n">
        <f aca="false">P279+F280</f>
        <v>0.149158985243051</v>
      </c>
      <c r="Q280" s="6" t="n">
        <f aca="false">MIN(MATCH(A280,$S$3:$X$3,1),5)</f>
        <v>5</v>
      </c>
    </row>
    <row r="281" customFormat="false" ht="15" hidden="false" customHeight="false" outlineLevel="0" collapsed="false">
      <c r="A281" s="6" t="n">
        <v>274</v>
      </c>
      <c r="B281" s="14" t="n">
        <f aca="false">INDEX($S$4:$X$4,Q281)*(INDEX($S$4:$X$4,Q281+1)/INDEX($S$4:$X$4,Q281))^((LN(A281)-LN(INDEX($S$3:$X$3,Q281)))/(LN(INDEX($S$3:$X$3,Q281+1))-LN(INDEX($S$3:$X$3,Q281))))</f>
        <v>0.00713184780220186</v>
      </c>
      <c r="C281" s="33" t="n">
        <f aca="false">C280+B281</f>
        <v>8.03899677412072</v>
      </c>
      <c r="D281" s="36" t="n">
        <f aca="false">Допущения!$B$19*(1-EXP(-Допущения!$B$26*(A281+1)))</f>
        <v>0.0099999999999971</v>
      </c>
      <c r="E281" s="37" t="n">
        <f aca="false">D281-D280</f>
        <v>3.20923843055709E-016</v>
      </c>
      <c r="F281" s="37" t="n">
        <f aca="false">D281*MIN(1,B281*Допущения!$B$21)</f>
        <v>0.000178296195054995</v>
      </c>
      <c r="G281" s="17" t="n">
        <f aca="false">((B281-F281*Допущения!$B$23)*Допущения!$B$13*Допущения!$B$15+B281*Допущения!$B$14*Допущения!$B$16)/1000</f>
        <v>0.00701524209063586</v>
      </c>
      <c r="H281" s="17" t="n">
        <f aca="false">E281*Допущения!$B$27</f>
        <v>3.00063793257088E-014</v>
      </c>
      <c r="I281" s="17" t="n">
        <f aca="false">F281*Допущения!$B$22/30*Допущения!$B$28</f>
        <v>0.000863625666296756</v>
      </c>
      <c r="J281" s="17" t="n">
        <f aca="false">G281*Допущения!$B$17+(H281+I281)*Допущения!$B$18</f>
        <v>0.00393943387848131</v>
      </c>
      <c r="K281" s="19" t="n">
        <f aca="false">K280+J281</f>
        <v>4.78435148696707</v>
      </c>
      <c r="L281" s="19" t="n">
        <f aca="false">L280+G281*Допущения!$B$17</f>
        <v>3.95517380465562</v>
      </c>
      <c r="M281" s="19" t="n">
        <f aca="false">M280+H281*Допущения!$B$18</f>
        <v>0.467499999999865</v>
      </c>
      <c r="N281" s="19" t="n">
        <f aca="false">N280+I281*Допущения!$B$18</f>
        <v>0.361677682311588</v>
      </c>
      <c r="O281" s="19" t="n">
        <f aca="false">O280+G281+H281+I281</f>
        <v>9.56870297393415</v>
      </c>
      <c r="P281" s="17" t="n">
        <f aca="false">P280+F281</f>
        <v>0.149337281438106</v>
      </c>
      <c r="Q281" s="6" t="n">
        <f aca="false">MIN(MATCH(A281,$S$3:$X$3,1),5)</f>
        <v>5</v>
      </c>
    </row>
    <row r="282" customFormat="false" ht="15" hidden="false" customHeight="false" outlineLevel="0" collapsed="false">
      <c r="A282" s="6" t="n">
        <v>275</v>
      </c>
      <c r="B282" s="14" t="n">
        <f aca="false">INDEX($S$4:$X$4,Q282)*(INDEX($S$4:$X$4,Q282+1)/INDEX($S$4:$X$4,Q282))^((LN(A282)-LN(INDEX($S$3:$X$3,Q282)))/(LN(INDEX($S$3:$X$3,Q282+1))-LN(INDEX($S$3:$X$3,Q282))))</f>
        <v>0.00709974531394499</v>
      </c>
      <c r="C282" s="33" t="n">
        <f aca="false">C281+B282</f>
        <v>8.04609651943466</v>
      </c>
      <c r="D282" s="36" t="n">
        <f aca="false">Допущения!$B$19*(1-EXP(-Допущения!$B$26*(A282+1)))</f>
        <v>0.00999999999999739</v>
      </c>
      <c r="E282" s="37" t="n">
        <f aca="false">D282-D281</f>
        <v>2.89698820488127E-016</v>
      </c>
      <c r="F282" s="37" t="n">
        <f aca="false">D282*MIN(1,B282*Допущения!$B$21)</f>
        <v>0.000177493632848578</v>
      </c>
      <c r="G282" s="17" t="n">
        <f aca="false">((B282-F282*Допущения!$B$23)*Допущения!$B$13*Допущения!$B$15+B282*Допущения!$B$14*Допущения!$B$16)/1000</f>
        <v>0.00698366447806199</v>
      </c>
      <c r="H282" s="17" t="n">
        <f aca="false">E282*Допущения!$B$27</f>
        <v>2.70868397156399E-014</v>
      </c>
      <c r="I282" s="17" t="n">
        <f aca="false">F282*Допущения!$B$22/30*Допущения!$B$28</f>
        <v>0.000859738239983215</v>
      </c>
      <c r="J282" s="17" t="n">
        <f aca="false">G282*Допущения!$B$17+(H282+I282)*Допущения!$B$18</f>
        <v>0.00392170135903615</v>
      </c>
      <c r="K282" s="19" t="n">
        <f aca="false">K281+J282</f>
        <v>4.7882731883261</v>
      </c>
      <c r="L282" s="19" t="n">
        <f aca="false">L281+G282*Допущения!$B$17</f>
        <v>3.95866563689465</v>
      </c>
      <c r="M282" s="19" t="n">
        <f aca="false">M281+H282*Допущения!$B$18</f>
        <v>0.467499999999878</v>
      </c>
      <c r="N282" s="19" t="n">
        <f aca="false">N281+I282*Допущения!$B$18</f>
        <v>0.362107551431579</v>
      </c>
      <c r="O282" s="19" t="n">
        <f aca="false">O281+G282+H282+I282</f>
        <v>9.57654637665222</v>
      </c>
      <c r="P282" s="17" t="n">
        <f aca="false">P281+F282</f>
        <v>0.149514775070955</v>
      </c>
      <c r="Q282" s="6" t="n">
        <f aca="false">MIN(MATCH(A282,$S$3:$X$3,1),5)</f>
        <v>5</v>
      </c>
    </row>
    <row r="283" customFormat="false" ht="15" hidden="false" customHeight="false" outlineLevel="0" collapsed="false">
      <c r="A283" s="6" t="n">
        <v>276</v>
      </c>
      <c r="B283" s="14" t="n">
        <f aca="false">INDEX($S$4:$X$4,Q283)*(INDEX($S$4:$X$4,Q283+1)/INDEX($S$4:$X$4,Q283))^((LN(A283)-LN(INDEX($S$3:$X$3,Q283)))/(LN(INDEX($S$3:$X$3,Q283+1))-LN(INDEX($S$3:$X$3,Q283))))</f>
        <v>0.00706790306785974</v>
      </c>
      <c r="C283" s="33" t="n">
        <f aca="false">C282+B283</f>
        <v>8.05316442250252</v>
      </c>
      <c r="D283" s="36" t="n">
        <f aca="false">Допущения!$B$19*(1-EXP(-Допущения!$B$26*(A283+1)))</f>
        <v>0.00999999999999765</v>
      </c>
      <c r="E283" s="37" t="n">
        <f aca="false">D283-D282</f>
        <v>2.58473797920544E-016</v>
      </c>
      <c r="F283" s="37" t="n">
        <f aca="false">D283*MIN(1,B283*Допущения!$B$21)</f>
        <v>0.000176697576696452</v>
      </c>
      <c r="G283" s="17" t="n">
        <f aca="false">((B283-F283*Допущения!$B$23)*Допущения!$B$13*Допущения!$B$15+B283*Допущения!$B$14*Допущения!$B$16)/1000</f>
        <v>0.00695234285270024</v>
      </c>
      <c r="H283" s="17" t="n">
        <f aca="false">E283*Допущения!$B$27</f>
        <v>2.41673001055709E-014</v>
      </c>
      <c r="I283" s="17" t="n">
        <f aca="false">F283*Допущения!$B$22/30*Допущения!$B$28</f>
        <v>0.000855882327496817</v>
      </c>
      <c r="J283" s="17" t="n">
        <f aca="false">G283*Допущения!$B$17+(H283+I283)*Допущения!$B$18</f>
        <v>0.00390411259011061</v>
      </c>
      <c r="K283" s="19" t="n">
        <f aca="false">K282+J283</f>
        <v>4.79217730091621</v>
      </c>
      <c r="L283" s="19" t="n">
        <f aca="false">L282+G283*Допущения!$B$17</f>
        <v>3.962141808321</v>
      </c>
      <c r="M283" s="19" t="n">
        <f aca="false">M282+H283*Допущения!$B$18</f>
        <v>0.46749999999989</v>
      </c>
      <c r="N283" s="19" t="n">
        <f aca="false">N282+I283*Допущения!$B$18</f>
        <v>0.362535492595328</v>
      </c>
      <c r="O283" s="19" t="n">
        <f aca="false">O282+G283+H283+I283</f>
        <v>9.58435460183244</v>
      </c>
      <c r="P283" s="17" t="n">
        <f aca="false">P282+F283</f>
        <v>0.149691472647651</v>
      </c>
      <c r="Q283" s="6" t="n">
        <f aca="false">MIN(MATCH(A283,$S$3:$X$3,1),5)</f>
        <v>5</v>
      </c>
    </row>
    <row r="284" customFormat="false" ht="15" hidden="false" customHeight="false" outlineLevel="0" collapsed="false">
      <c r="A284" s="6" t="n">
        <v>277</v>
      </c>
      <c r="B284" s="14" t="n">
        <f aca="false">INDEX($S$4:$X$4,Q284)*(INDEX($S$4:$X$4,Q284+1)/INDEX($S$4:$X$4,Q284))^((LN(A284)-LN(INDEX($S$3:$X$3,Q284)))/(LN(INDEX($S$3:$X$3,Q284+1))-LN(INDEX($S$3:$X$3,Q284))))</f>
        <v>0.00703631802278194</v>
      </c>
      <c r="C284" s="33" t="n">
        <f aca="false">C283+B284</f>
        <v>8.06020074052531</v>
      </c>
      <c r="D284" s="36" t="n">
        <f aca="false">Допущения!$B$19*(1-EXP(-Допущения!$B$26*(A284+1)))</f>
        <v>0.00999999999999788</v>
      </c>
      <c r="E284" s="37" t="n">
        <f aca="false">D284-D283</f>
        <v>2.35922392732846E-016</v>
      </c>
      <c r="F284" s="37" t="n">
        <f aca="false">D284*MIN(1,B284*Допущения!$B$21)</f>
        <v>0.000175907950569511</v>
      </c>
      <c r="G284" s="17" t="n">
        <f aca="false">((B284-F284*Допущения!$B$23)*Допущения!$B$13*Допущения!$B$15+B284*Допущения!$B$14*Допущения!$B$16)/1000</f>
        <v>0.00692127422310945</v>
      </c>
      <c r="H284" s="17" t="n">
        <f aca="false">E284*Допущения!$B$27</f>
        <v>2.20587437205211E-014</v>
      </c>
      <c r="I284" s="17" t="n">
        <f aca="false">F284*Допущения!$B$22/30*Допущения!$B$28</f>
        <v>0.000852057560570107</v>
      </c>
      <c r="J284" s="17" t="n">
        <f aca="false">G284*Допущения!$B$17+(H284+I284)*Допущения!$B$18</f>
        <v>0.00388666589185081</v>
      </c>
      <c r="K284" s="19" t="n">
        <f aca="false">K283+J284</f>
        <v>4.79606396680807</v>
      </c>
      <c r="L284" s="19" t="n">
        <f aca="false">L283+G284*Допущения!$B$17</f>
        <v>3.96560244543256</v>
      </c>
      <c r="M284" s="19" t="n">
        <f aca="false">M283+H284*Допущения!$B$18</f>
        <v>0.467499999999902</v>
      </c>
      <c r="N284" s="19" t="n">
        <f aca="false">N283+I284*Допущения!$B$18</f>
        <v>0.362961521375613</v>
      </c>
      <c r="O284" s="19" t="n">
        <f aca="false">O283+G284+H284+I284</f>
        <v>9.59212793361614</v>
      </c>
      <c r="P284" s="17" t="n">
        <f aca="false">P283+F284</f>
        <v>0.149867380598221</v>
      </c>
      <c r="Q284" s="6" t="n">
        <f aca="false">MIN(MATCH(A284,$S$3:$X$3,1),5)</f>
        <v>5</v>
      </c>
    </row>
    <row r="285" customFormat="false" ht="15" hidden="false" customHeight="false" outlineLevel="0" collapsed="false">
      <c r="A285" s="6" t="n">
        <v>278</v>
      </c>
      <c r="B285" s="14" t="n">
        <f aca="false">INDEX($S$4:$X$4,Q285)*(INDEX($S$4:$X$4,Q285+1)/INDEX($S$4:$X$4,Q285))^((LN(A285)-LN(INDEX($S$3:$X$3,Q285)))/(LN(INDEX($S$3:$X$3,Q285+1))-LN(INDEX($S$3:$X$3,Q285))))</f>
        <v>0.00700498718389309</v>
      </c>
      <c r="C285" s="33" t="n">
        <f aca="false">C284+B285</f>
        <v>8.0672057277092</v>
      </c>
      <c r="D285" s="36" t="n">
        <f aca="false">Допущения!$B$19*(1-EXP(-Допущения!$B$26*(A285+1)))</f>
        <v>0.00999999999999809</v>
      </c>
      <c r="E285" s="37" t="n">
        <f aca="false">D285-D284</f>
        <v>2.09901540593194E-016</v>
      </c>
      <c r="F285" s="37" t="n">
        <f aca="false">D285*MIN(1,B285*Допущения!$B$21)</f>
        <v>0.000175124679597294</v>
      </c>
      <c r="G285" s="17" t="n">
        <f aca="false">((B285-F285*Допущения!$B$23)*Допущения!$B$13*Допущения!$B$15+B285*Допущения!$B$14*Допущения!$B$16)/1000</f>
        <v>0.00689045564343644</v>
      </c>
      <c r="H285" s="17" t="n">
        <f aca="false">E285*Допущения!$B$27</f>
        <v>1.96257940454636E-014</v>
      </c>
      <c r="I285" s="17" t="n">
        <f aca="false">F285*Допущения!$B$22/30*Допущения!$B$28</f>
        <v>0.000848263576547827</v>
      </c>
      <c r="J285" s="17" t="n">
        <f aca="false">G285*Допущения!$B$17+(H285+I285)*Допущения!$B$18</f>
        <v>0.00386935961000195</v>
      </c>
      <c r="K285" s="19" t="n">
        <f aca="false">K284+J285</f>
        <v>4.79993332641807</v>
      </c>
      <c r="L285" s="19" t="n">
        <f aca="false">L284+G285*Допущения!$B$17</f>
        <v>3.96904767325428</v>
      </c>
      <c r="M285" s="19" t="n">
        <f aca="false">M284+H285*Допущения!$B$18</f>
        <v>0.467499999999911</v>
      </c>
      <c r="N285" s="19" t="n">
        <f aca="false">N284+I285*Допущения!$B$18</f>
        <v>0.363385653163887</v>
      </c>
      <c r="O285" s="19" t="n">
        <f aca="false">O284+G285+H285+I285</f>
        <v>9.59986665283615</v>
      </c>
      <c r="P285" s="17" t="n">
        <f aca="false">P284+F285</f>
        <v>0.150042505277818</v>
      </c>
      <c r="Q285" s="6" t="n">
        <f aca="false">MIN(MATCH(A285,$S$3:$X$3,1),5)</f>
        <v>5</v>
      </c>
    </row>
    <row r="286" customFormat="false" ht="15" hidden="false" customHeight="false" outlineLevel="0" collapsed="false">
      <c r="A286" s="6" t="n">
        <v>279</v>
      </c>
      <c r="B286" s="14" t="n">
        <f aca="false">INDEX($S$4:$X$4,Q286)*(INDEX($S$4:$X$4,Q286+1)/INDEX($S$4:$X$4,Q286))^((LN(A286)-LN(INDEX($S$3:$X$3,Q286)))/(LN(INDEX($S$3:$X$3,Q286+1))-LN(INDEX($S$3:$X$3,Q286))))</f>
        <v>0.00697390760185061</v>
      </c>
      <c r="C286" s="33" t="n">
        <f aca="false">C285+B286</f>
        <v>8.07417963531105</v>
      </c>
      <c r="D286" s="36" t="n">
        <f aca="false">Допущения!$B$19*(1-EXP(-Допущения!$B$26*(A286+1)))</f>
        <v>0.00999999999999829</v>
      </c>
      <c r="E286" s="37" t="n">
        <f aca="false">D286-D285</f>
        <v>1.90819582357449E-016</v>
      </c>
      <c r="F286" s="37" t="n">
        <f aca="false">D286*MIN(1,B286*Допущения!$B$21)</f>
        <v>0.000174347690046235</v>
      </c>
      <c r="G286" s="17" t="n">
        <f aca="false">((B286-F286*Допущения!$B$23)*Допущения!$B$13*Допущения!$B$15+B286*Допущения!$B$14*Допущения!$B$16)/1000</f>
        <v>0.00685988421256035</v>
      </c>
      <c r="H286" s="17" t="n">
        <f aca="false">E286*Допущения!$B$27</f>
        <v>1.78416309504215E-014</v>
      </c>
      <c r="I286" s="17" t="n">
        <f aca="false">F286*Допущения!$B$22/30*Допущения!$B$28</f>
        <v>0.000844500018281585</v>
      </c>
      <c r="J286" s="17" t="n">
        <f aca="false">G286*Допущения!$B$17+(H286+I286)*Допущения!$B$18</f>
        <v>0.00385219211542989</v>
      </c>
      <c r="K286" s="19" t="n">
        <f aca="false">K285+J286</f>
        <v>4.8037855185335</v>
      </c>
      <c r="L286" s="19" t="n">
        <f aca="false">L285+G286*Допущения!$B$17</f>
        <v>3.97247761536056</v>
      </c>
      <c r="M286" s="19" t="n">
        <f aca="false">M285+H286*Допущения!$B$18</f>
        <v>0.46749999999992</v>
      </c>
      <c r="N286" s="19" t="n">
        <f aca="false">N285+I286*Допущения!$B$18</f>
        <v>0.363807903173027</v>
      </c>
      <c r="O286" s="19" t="n">
        <f aca="false">O285+G286+H286+I286</f>
        <v>9.607571037067</v>
      </c>
      <c r="P286" s="17" t="n">
        <f aca="false">P285+F286</f>
        <v>0.150216852967864</v>
      </c>
      <c r="Q286" s="6" t="n">
        <f aca="false">MIN(MATCH(A286,$S$3:$X$3,1),5)</f>
        <v>5</v>
      </c>
    </row>
    <row r="287" customFormat="false" ht="15" hidden="false" customHeight="false" outlineLevel="0" collapsed="false">
      <c r="A287" s="6" t="n">
        <v>280</v>
      </c>
      <c r="B287" s="14" t="n">
        <f aca="false">INDEX($S$4:$X$4,Q287)*(INDEX($S$4:$X$4,Q287+1)/INDEX($S$4:$X$4,Q287))^((LN(A287)-LN(INDEX($S$3:$X$3,Q287)))/(LN(INDEX($S$3:$X$3,Q287+1))-LN(INDEX($S$3:$X$3,Q287))))</f>
        <v>0.00694307637193735</v>
      </c>
      <c r="C287" s="33" t="n">
        <f aca="false">C286+B287</f>
        <v>8.08112271168299</v>
      </c>
      <c r="D287" s="36" t="n">
        <f aca="false">Допущения!$B$19*(1-EXP(-Допущения!$B$26*(A287+1)))</f>
        <v>0.00999999999999846</v>
      </c>
      <c r="E287" s="37" t="n">
        <f aca="false">D287-D286</f>
        <v>1.70002900645727E-016</v>
      </c>
      <c r="F287" s="37" t="n">
        <f aca="false">D287*MIN(1,B287*Допущения!$B$21)</f>
        <v>0.000173576909298407</v>
      </c>
      <c r="G287" s="17" t="n">
        <f aca="false">((B287-F287*Допущения!$B$23)*Допущения!$B$13*Допущения!$B$15+B287*Допущения!$B$14*Допущения!$B$16)/1000</f>
        <v>0.00682955707325618</v>
      </c>
      <c r="H287" s="17" t="n">
        <f aca="false">E287*Допущения!$B$27</f>
        <v>1.58952712103755E-014</v>
      </c>
      <c r="I287" s="17" t="n">
        <f aca="false">F287*Допущения!$B$22/30*Допущения!$B$28</f>
        <v>0.000840766534026879</v>
      </c>
      <c r="J287" s="17" t="n">
        <f aca="false">G287*Допущения!$B$17+(H287+I287)*Допущения!$B$18</f>
        <v>0.00383516180364948</v>
      </c>
      <c r="K287" s="19" t="n">
        <f aca="false">K286+J287</f>
        <v>4.80762068033715</v>
      </c>
      <c r="L287" s="19" t="n">
        <f aca="false">L286+G287*Допущения!$B$17</f>
        <v>3.97589239389719</v>
      </c>
      <c r="M287" s="19" t="n">
        <f aca="false">M286+H287*Допущения!$B$18</f>
        <v>0.467499999999928</v>
      </c>
      <c r="N287" s="19" t="n">
        <f aca="false">N286+I287*Допущения!$B$18</f>
        <v>0.364228286440041</v>
      </c>
      <c r="O287" s="19" t="n">
        <f aca="false">O286+G287+H287+I287</f>
        <v>9.6152413606743</v>
      </c>
      <c r="P287" s="17" t="n">
        <f aca="false">P286+F287</f>
        <v>0.150390429877163</v>
      </c>
      <c r="Q287" s="6" t="n">
        <f aca="false">MIN(MATCH(A287,$S$3:$X$3,1),5)</f>
        <v>5</v>
      </c>
    </row>
    <row r="288" customFormat="false" ht="15" hidden="false" customHeight="false" outlineLevel="0" collapsed="false">
      <c r="A288" s="6" t="n">
        <v>281</v>
      </c>
      <c r="B288" s="14" t="n">
        <f aca="false">INDEX($S$4:$X$4,Q288)*(INDEX($S$4:$X$4,Q288+1)/INDEX($S$4:$X$4,Q288))^((LN(A288)-LN(INDEX($S$3:$X$3,Q288)))/(LN(INDEX($S$3:$X$3,Q288+1))-LN(INDEX($S$3:$X$3,Q288))))</f>
        <v>0.00691249063323012</v>
      </c>
      <c r="C288" s="33" t="n">
        <f aca="false">C287+B288</f>
        <v>8.08803520231622</v>
      </c>
      <c r="D288" s="36" t="n">
        <f aca="false">Допущения!$B$19*(1-EXP(-Допущения!$B$26*(A288+1)))</f>
        <v>0.00999999999999861</v>
      </c>
      <c r="E288" s="37" t="n">
        <f aca="false">D288-D287</f>
        <v>1.54390389361936E-016</v>
      </c>
      <c r="F288" s="37" t="n">
        <f aca="false">D288*MIN(1,B288*Допущения!$B$21)</f>
        <v>0.000172812265830729</v>
      </c>
      <c r="G288" s="17" t="n">
        <f aca="false">((B288-F288*Допущения!$B$23)*Допущения!$B$13*Допущения!$B$15+B288*Допущения!$B$14*Допущения!$B$16)/1000</f>
        <v>0.00679947141137681</v>
      </c>
      <c r="H288" s="17" t="n">
        <f aca="false">E288*Допущения!$B$27</f>
        <v>1.4435501405341E-014</v>
      </c>
      <c r="I288" s="17" t="n">
        <f aca="false">F288*Допущения!$B$22/30*Допущения!$B$28</f>
        <v>0.000837062777342396</v>
      </c>
      <c r="J288" s="17" t="n">
        <f aca="false">G288*Допущения!$B$17+(H288+I288)*Допущения!$B$18</f>
        <v>0.00381826709436682</v>
      </c>
      <c r="K288" s="19" t="n">
        <f aca="false">K287+J288</f>
        <v>4.81143894743151</v>
      </c>
      <c r="L288" s="19" t="n">
        <f aca="false">L287+G288*Допущения!$B$17</f>
        <v>3.97929212960287</v>
      </c>
      <c r="M288" s="19" t="n">
        <f aca="false">M287+H288*Допущения!$B$18</f>
        <v>0.467499999999935</v>
      </c>
      <c r="N288" s="19" t="n">
        <f aca="false">N287+I288*Допущения!$B$18</f>
        <v>0.364646817828712</v>
      </c>
      <c r="O288" s="19" t="n">
        <f aca="false">O287+G288+H288+I288</f>
        <v>9.62287789486304</v>
      </c>
      <c r="P288" s="17" t="n">
        <f aca="false">P287+F288</f>
        <v>0.150563242142993</v>
      </c>
      <c r="Q288" s="6" t="n">
        <f aca="false">MIN(MATCH(A288,$S$3:$X$3,1),5)</f>
        <v>5</v>
      </c>
    </row>
    <row r="289" customFormat="false" ht="15" hidden="false" customHeight="false" outlineLevel="0" collapsed="false">
      <c r="A289" s="6" t="n">
        <v>282</v>
      </c>
      <c r="B289" s="14" t="n">
        <f aca="false">INDEX($S$4:$X$4,Q289)*(INDEX($S$4:$X$4,Q289+1)/INDEX($S$4:$X$4,Q289))^((LN(A289)-LN(INDEX($S$3:$X$3,Q289)))/(LN(INDEX($S$3:$X$3,Q289+1))-LN(INDEX($S$3:$X$3,Q289))))</f>
        <v>0.00688214756778644</v>
      </c>
      <c r="C289" s="33" t="n">
        <f aca="false">C288+B289</f>
        <v>8.094917349884</v>
      </c>
      <c r="D289" s="36" t="n">
        <f aca="false">Допущения!$B$19*(1-EXP(-Допущения!$B$26*(A289+1)))</f>
        <v>0.00999999999999875</v>
      </c>
      <c r="E289" s="37" t="n">
        <f aca="false">D289-D288</f>
        <v>1.38777878078145E-016</v>
      </c>
      <c r="F289" s="37" t="n">
        <f aca="false">D289*MIN(1,B289*Допущения!$B$21)</f>
        <v>0.00017205368919464</v>
      </c>
      <c r="G289" s="17" t="n">
        <f aca="false">((B289-F289*Допущения!$B$23)*Допущения!$B$13*Допущения!$B$15+B289*Допущения!$B$14*Допущения!$B$16)/1000</f>
        <v>0.00676962445505314</v>
      </c>
      <c r="H289" s="17" t="n">
        <f aca="false">E289*Допущения!$B$27</f>
        <v>1.29757316003065E-014</v>
      </c>
      <c r="I289" s="17" t="n">
        <f aca="false">F289*Допущения!$B$22/30*Допущения!$B$28</f>
        <v>0.000833388406991543</v>
      </c>
      <c r="J289" s="17" t="n">
        <f aca="false">G289*Допущения!$B$17+(H289+I289)*Допущения!$B$18</f>
        <v>0.00380150643102883</v>
      </c>
      <c r="K289" s="19" t="n">
        <f aca="false">K288+J289</f>
        <v>4.81524045386254</v>
      </c>
      <c r="L289" s="19" t="n">
        <f aca="false">L288+G289*Допущения!$B$17</f>
        <v>3.9826769418304</v>
      </c>
      <c r="M289" s="19" t="n">
        <f aca="false">M288+H289*Допущения!$B$18</f>
        <v>0.467499999999942</v>
      </c>
      <c r="N289" s="19" t="n">
        <f aca="false">N288+I289*Допущения!$B$18</f>
        <v>0.365063512032208</v>
      </c>
      <c r="O289" s="19" t="n">
        <f aca="false">O288+G289+H289+I289</f>
        <v>9.6304809077251</v>
      </c>
      <c r="P289" s="17" t="n">
        <f aca="false">P288+F289</f>
        <v>0.150735295832188</v>
      </c>
      <c r="Q289" s="6" t="n">
        <f aca="false">MIN(MATCH(A289,$S$3:$X$3,1),5)</f>
        <v>5</v>
      </c>
    </row>
    <row r="290" customFormat="false" ht="15" hidden="false" customHeight="false" outlineLevel="0" collapsed="false">
      <c r="A290" s="6" t="n">
        <v>283</v>
      </c>
      <c r="B290" s="14" t="n">
        <f aca="false">INDEX($S$4:$X$4,Q290)*(INDEX($S$4:$X$4,Q290+1)/INDEX($S$4:$X$4,Q290))^((LN(A290)-LN(INDEX($S$3:$X$3,Q290)))/(LN(INDEX($S$3:$X$3,Q290+1))-LN(INDEX($S$3:$X$3,Q290))))</f>
        <v>0.00685204439984938</v>
      </c>
      <c r="C290" s="33" t="n">
        <f aca="false">C289+B290</f>
        <v>8.10176939428385</v>
      </c>
      <c r="D290" s="36" t="n">
        <f aca="false">Допущения!$B$19*(1-EXP(-Допущения!$B$26*(A290+1)))</f>
        <v>0.00999999999999887</v>
      </c>
      <c r="E290" s="37" t="n">
        <f aca="false">D290-D289</f>
        <v>1.2490009027033E-016</v>
      </c>
      <c r="F290" s="37" t="n">
        <f aca="false">D290*MIN(1,B290*Допущения!$B$21)</f>
        <v>0.000171301109996215</v>
      </c>
      <c r="G290" s="17" t="n">
        <f aca="false">((B290-F290*Допущения!$B$23)*Допущения!$B$13*Допущения!$B$15+B290*Допущения!$B$14*Допущения!$B$16)/1000</f>
        <v>0.00674001347391184</v>
      </c>
      <c r="H290" s="17" t="n">
        <f aca="false">E290*Допущения!$B$27</f>
        <v>1.16781584402759E-014</v>
      </c>
      <c r="I290" s="17" t="n">
        <f aca="false">F290*Допущения!$B$22/30*Допущения!$B$28</f>
        <v>0.000829743086846153</v>
      </c>
      <c r="J290" s="17" t="n">
        <f aca="false">G290*Допущения!$B$17+(H290+I290)*Допущения!$B$18</f>
        <v>0.00378487828038484</v>
      </c>
      <c r="K290" s="19" t="n">
        <f aca="false">K289+J290</f>
        <v>4.81902533214293</v>
      </c>
      <c r="L290" s="19" t="n">
        <f aca="false">L289+G290*Допущения!$B$17</f>
        <v>3.98604694856736</v>
      </c>
      <c r="M290" s="19" t="n">
        <f aca="false">M289+H290*Допущения!$B$18</f>
        <v>0.467499999999948</v>
      </c>
      <c r="N290" s="19" t="n">
        <f aca="false">N289+I290*Допущения!$B$18</f>
        <v>0.365478383575631</v>
      </c>
      <c r="O290" s="19" t="n">
        <f aca="false">O289+G290+H290+I290</f>
        <v>9.63805066428587</v>
      </c>
      <c r="P290" s="17" t="n">
        <f aca="false">P289+F290</f>
        <v>0.150906596942184</v>
      </c>
      <c r="Q290" s="6" t="n">
        <f aca="false">MIN(MATCH(A290,$S$3:$X$3,1),5)</f>
        <v>5</v>
      </c>
    </row>
    <row r="291" customFormat="false" ht="15" hidden="false" customHeight="false" outlineLevel="0" collapsed="false">
      <c r="A291" s="6" t="n">
        <v>284</v>
      </c>
      <c r="B291" s="14" t="n">
        <f aca="false">INDEX($S$4:$X$4,Q291)*(INDEX($S$4:$X$4,Q291+1)/INDEX($S$4:$X$4,Q291))^((LN(A291)-LN(INDEX($S$3:$X$3,Q291)))/(LN(INDEX($S$3:$X$3,Q291+1))-LN(INDEX($S$3:$X$3,Q291))))</f>
        <v>0.00682217839506968</v>
      </c>
      <c r="C291" s="33" t="n">
        <f aca="false">C290+B291</f>
        <v>8.10859157267892</v>
      </c>
      <c r="D291" s="36" t="n">
        <f aca="false">Допущения!$B$19*(1-EXP(-Допущения!$B$26*(A291+1)))</f>
        <v>0.00999999999999898</v>
      </c>
      <c r="E291" s="37" t="n">
        <f aca="false">D291-D290</f>
        <v>1.11022302462516E-016</v>
      </c>
      <c r="F291" s="37" t="n">
        <f aca="false">D291*MIN(1,B291*Допущения!$B$21)</f>
        <v>0.000170554459876725</v>
      </c>
      <c r="G291" s="17" t="n">
        <f aca="false">((B291-F291*Допущения!$B$23)*Допущения!$B$13*Допущения!$B$15+B291*Допущения!$B$14*Допущения!$B$16)/1000</f>
        <v>0.00671063577831029</v>
      </c>
      <c r="H291" s="17" t="n">
        <f aca="false">E291*Допущения!$B$27</f>
        <v>1.03805852802452E-014</v>
      </c>
      <c r="I291" s="17" t="n">
        <f aca="false">F291*Допущения!$B$22/30*Допущения!$B$28</f>
        <v>0.000826126485792291</v>
      </c>
      <c r="J291" s="17" t="n">
        <f aca="false">G291*Допущения!$B$17+(H291+I291)*Допущения!$B$18</f>
        <v>0.00376838113205648</v>
      </c>
      <c r="K291" s="19" t="n">
        <f aca="false">K290+J291</f>
        <v>4.82279371327498</v>
      </c>
      <c r="L291" s="19" t="n">
        <f aca="false">L290+G291*Допущения!$B$17</f>
        <v>3.98940226645651</v>
      </c>
      <c r="M291" s="19" t="n">
        <f aca="false">M290+H291*Допущения!$B$18</f>
        <v>0.467499999999953</v>
      </c>
      <c r="N291" s="19" t="n">
        <f aca="false">N290+I291*Допущения!$B$18</f>
        <v>0.365891446818527</v>
      </c>
      <c r="O291" s="19" t="n">
        <f aca="false">O290+G291+H291+I291</f>
        <v>9.64558742654998</v>
      </c>
      <c r="P291" s="17" t="n">
        <f aca="false">P290+F291</f>
        <v>0.151077151402061</v>
      </c>
      <c r="Q291" s="6" t="n">
        <f aca="false">MIN(MATCH(A291,$S$3:$X$3,1),5)</f>
        <v>5</v>
      </c>
    </row>
    <row r="292" customFormat="false" ht="15" hidden="false" customHeight="false" outlineLevel="0" collapsed="false">
      <c r="A292" s="6" t="n">
        <v>285</v>
      </c>
      <c r="B292" s="14" t="n">
        <f aca="false">INDEX($S$4:$X$4,Q292)*(INDEX($S$4:$X$4,Q292+1)/INDEX($S$4:$X$4,Q292))^((LN(A292)-LN(INDEX($S$3:$X$3,Q292)))/(LN(INDEX($S$3:$X$3,Q292+1))-LN(INDEX($S$3:$X$3,Q292))))</f>
        <v>0.00679254685974507</v>
      </c>
      <c r="C292" s="33" t="n">
        <f aca="false">C291+B292</f>
        <v>8.11538411953867</v>
      </c>
      <c r="D292" s="36" t="n">
        <f aca="false">Допущения!$B$19*(1-EXP(-Допущения!$B$26*(A292+1)))</f>
        <v>0.00999999999999909</v>
      </c>
      <c r="E292" s="37" t="n">
        <f aca="false">D292-D291</f>
        <v>1.02348685082632E-016</v>
      </c>
      <c r="F292" s="37" t="n">
        <f aca="false">D292*MIN(1,B292*Допущения!$B$21)</f>
        <v>0.000169813671493611</v>
      </c>
      <c r="G292" s="17" t="n">
        <f aca="false">((B292-F292*Допущения!$B$23)*Допущения!$B$13*Допущения!$B$15+B292*Допущения!$B$14*Допущения!$B$16)/1000</f>
        <v>0.00668148871858824</v>
      </c>
      <c r="H292" s="17" t="n">
        <f aca="false">E292*Допущения!$B$27</f>
        <v>9.56960205522606E-015</v>
      </c>
      <c r="I292" s="17" t="n">
        <f aca="false">F292*Допущения!$B$22/30*Допущения!$B$28</f>
        <v>0.000822538277638135</v>
      </c>
      <c r="J292" s="17" t="n">
        <f aca="false">G292*Допущения!$B$17+(H292+I292)*Допущения!$B$18</f>
        <v>0.00375201349811797</v>
      </c>
      <c r="K292" s="19" t="n">
        <f aca="false">K291+J292</f>
        <v>4.8265457267731</v>
      </c>
      <c r="L292" s="19" t="n">
        <f aca="false">L291+G292*Допущения!$B$17</f>
        <v>3.99274301081581</v>
      </c>
      <c r="M292" s="19" t="n">
        <f aca="false">M291+H292*Допущения!$B$18</f>
        <v>0.467499999999958</v>
      </c>
      <c r="N292" s="19" t="n">
        <f aca="false">N291+I292*Допущения!$B$18</f>
        <v>0.366302715957346</v>
      </c>
      <c r="O292" s="19" t="n">
        <f aca="false">O291+G292+H292+I292</f>
        <v>9.65309145354622</v>
      </c>
      <c r="P292" s="17" t="n">
        <f aca="false">P291+F292</f>
        <v>0.151246965073554</v>
      </c>
      <c r="Q292" s="6" t="n">
        <f aca="false">MIN(MATCH(A292,$S$3:$X$3,1),5)</f>
        <v>5</v>
      </c>
    </row>
    <row r="293" customFormat="false" ht="15" hidden="false" customHeight="false" outlineLevel="0" collapsed="false">
      <c r="A293" s="6" t="n">
        <v>286</v>
      </c>
      <c r="B293" s="14" t="n">
        <f aca="false">INDEX($S$4:$X$4,Q293)*(INDEX($S$4:$X$4,Q293+1)/INDEX($S$4:$X$4,Q293))^((LN(A293)-LN(INDEX($S$3:$X$3,Q293)))/(LN(INDEX($S$3:$X$3,Q293+1))-LN(INDEX($S$3:$X$3,Q293))))</f>
        <v>0.00676314714007603</v>
      </c>
      <c r="C293" s="33" t="n">
        <f aca="false">C292+B293</f>
        <v>8.12214726667874</v>
      </c>
      <c r="D293" s="36" t="n">
        <f aca="false">Допущения!$B$19*(1-EXP(-Допущения!$B$26*(A293+1)))</f>
        <v>0.00999999999999918</v>
      </c>
      <c r="E293" s="37" t="n">
        <f aca="false">D293-D292</f>
        <v>9.19403442267708E-017</v>
      </c>
      <c r="F293" s="37" t="n">
        <f aca="false">D293*MIN(1,B293*Допущения!$B$21)</f>
        <v>0.000169078678501887</v>
      </c>
      <c r="G293" s="17" t="n">
        <f aca="false">((B293-F293*Допущения!$B$23)*Допущения!$B$13*Допущения!$B$15+B293*Допущения!$B$14*Допущения!$B$16)/1000</f>
        <v>0.00665256968433579</v>
      </c>
      <c r="H293" s="17" t="n">
        <f aca="false">E293*Допущения!$B$27</f>
        <v>8.59642218520307E-015</v>
      </c>
      <c r="I293" s="17" t="n">
        <f aca="false">F293*Допущения!$B$22/30*Допущения!$B$28</f>
        <v>0.000818978141023859</v>
      </c>
      <c r="J293" s="17" t="n">
        <f aca="false">G293*Допущения!$B$17+(H293+I293)*Допущения!$B$18</f>
        <v>0.00373577391268412</v>
      </c>
      <c r="K293" s="19" t="n">
        <f aca="false">K292+J293</f>
        <v>4.83028150068579</v>
      </c>
      <c r="L293" s="19" t="n">
        <f aca="false">L292+G293*Допущения!$B$17</f>
        <v>3.99606929565797</v>
      </c>
      <c r="M293" s="19" t="n">
        <f aca="false">M292+H293*Допущения!$B$18</f>
        <v>0.467499999999962</v>
      </c>
      <c r="N293" s="19" t="n">
        <f aca="false">N292+I293*Допущения!$B$18</f>
        <v>0.366712205027858</v>
      </c>
      <c r="O293" s="19" t="n">
        <f aca="false">O292+G293+H293+I293</f>
        <v>9.66056300137158</v>
      </c>
      <c r="P293" s="17" t="n">
        <f aca="false">P292+F293</f>
        <v>0.151416043752056</v>
      </c>
      <c r="Q293" s="6" t="n">
        <f aca="false">MIN(MATCH(A293,$S$3:$X$3,1),5)</f>
        <v>5</v>
      </c>
    </row>
    <row r="294" customFormat="false" ht="15" hidden="false" customHeight="false" outlineLevel="0" collapsed="false">
      <c r="A294" s="6" t="n">
        <v>287</v>
      </c>
      <c r="B294" s="14" t="n">
        <f aca="false">INDEX($S$4:$X$4,Q294)*(INDEX($S$4:$X$4,Q294+1)/INDEX($S$4:$X$4,Q294))^((LN(A294)-LN(INDEX($S$3:$X$3,Q294)))/(LN(INDEX($S$3:$X$3,Q294+1))-LN(INDEX($S$3:$X$3,Q294))))</f>
        <v>0.00673397662143781</v>
      </c>
      <c r="C294" s="33" t="n">
        <f aca="false">C293+B294</f>
        <v>8.12888124330018</v>
      </c>
      <c r="D294" s="36" t="n">
        <f aca="false">Допущения!$B$19*(1-EXP(-Допущения!$B$26*(A294+1)))</f>
        <v>0.00999999999999926</v>
      </c>
      <c r="E294" s="37" t="n">
        <f aca="false">D294-D293</f>
        <v>8.15320033709099E-017</v>
      </c>
      <c r="F294" s="37" t="n">
        <f aca="false">D294*MIN(1,B294*Допущения!$B$21)</f>
        <v>0.000168349415535933</v>
      </c>
      <c r="G294" s="17" t="n">
        <f aca="false">((B294-F294*Допущения!$B$23)*Допущения!$B$13*Допущения!$B$15+B294*Допущения!$B$14*Допущения!$B$16)/1000</f>
        <v>0.0066238761036773</v>
      </c>
      <c r="H294" s="17" t="n">
        <f aca="false">E294*Допущения!$B$27</f>
        <v>7.62324231518008E-015</v>
      </c>
      <c r="I294" s="17" t="n">
        <f aca="false">F294*Допущения!$B$22/30*Допущения!$B$28</f>
        <v>0.000815445759333474</v>
      </c>
      <c r="J294" s="17" t="n">
        <f aca="false">G294*Допущения!$B$17+(H294+I294)*Допущения!$B$18</f>
        <v>0.0037196609315092</v>
      </c>
      <c r="K294" s="19" t="n">
        <f aca="false">K293+J294</f>
        <v>4.83400116161729</v>
      </c>
      <c r="L294" s="19" t="n">
        <f aca="false">L293+G294*Допущения!$B$17</f>
        <v>3.99938123370981</v>
      </c>
      <c r="M294" s="19" t="n">
        <f aca="false">M293+H294*Допущения!$B$18</f>
        <v>0.467499999999966</v>
      </c>
      <c r="N294" s="19" t="n">
        <f aca="false">N293+I294*Допущения!$B$18</f>
        <v>0.367119927907525</v>
      </c>
      <c r="O294" s="19" t="n">
        <f aca="false">O293+G294+H294+I294</f>
        <v>9.6680023232346</v>
      </c>
      <c r="P294" s="17" t="n">
        <f aca="false">P293+F294</f>
        <v>0.151584393167592</v>
      </c>
      <c r="Q294" s="6" t="n">
        <f aca="false">MIN(MATCH(A294,$S$3:$X$3,1),5)</f>
        <v>5</v>
      </c>
    </row>
    <row r="295" customFormat="false" ht="15" hidden="false" customHeight="false" outlineLevel="0" collapsed="false">
      <c r="A295" s="6" t="n">
        <v>288</v>
      </c>
      <c r="B295" s="14" t="n">
        <f aca="false">INDEX($S$4:$X$4,Q295)*(INDEX($S$4:$X$4,Q295+1)/INDEX($S$4:$X$4,Q295))^((LN(A295)-LN(INDEX($S$3:$X$3,Q295)))/(LN(INDEX($S$3:$X$3,Q295+1))-LN(INDEX($S$3:$X$3,Q295))))</f>
        <v>0.00670503272766818</v>
      </c>
      <c r="C295" s="33" t="n">
        <f aca="false">C294+B295</f>
        <v>8.13558627602785</v>
      </c>
      <c r="D295" s="36" t="n">
        <f aca="false">Допущения!$B$19*(1-EXP(-Допущения!$B$26*(A295+1)))</f>
        <v>0.00999999999999933</v>
      </c>
      <c r="E295" s="37" t="n">
        <f aca="false">D295-D294</f>
        <v>7.28583859910259E-017</v>
      </c>
      <c r="F295" s="37" t="n">
        <f aca="false">D295*MIN(1,B295*Допущения!$B$21)</f>
        <v>0.000167625818191693</v>
      </c>
      <c r="G295" s="17" t="n">
        <f aca="false">((B295-F295*Допущения!$B$23)*Допущения!$B$13*Допущения!$B$15+B295*Допущения!$B$14*Допущения!$B$16)/1000</f>
        <v>0.0065954054425708</v>
      </c>
      <c r="H295" s="17" t="n">
        <f aca="false">E295*Допущения!$B$27</f>
        <v>6.81225909016092E-015</v>
      </c>
      <c r="I295" s="17" t="n">
        <f aca="false">F295*Допущения!$B$22/30*Допущения!$B$28</f>
        <v>0.00081194082060858</v>
      </c>
      <c r="J295" s="17" t="n">
        <f aca="false">G295*Допущения!$B$17+(H295+I295)*Допущения!$B$18</f>
        <v>0.0037036731315931</v>
      </c>
      <c r="K295" s="19" t="n">
        <f aca="false">K294+J295</f>
        <v>4.83770483474889</v>
      </c>
      <c r="L295" s="19" t="n">
        <f aca="false">L294+G295*Допущения!$B$17</f>
        <v>4.0026789364311</v>
      </c>
      <c r="M295" s="19" t="n">
        <f aca="false">M294+H295*Допущения!$B$18</f>
        <v>0.467499999999969</v>
      </c>
      <c r="N295" s="19" t="n">
        <f aca="false">N294+I295*Допущения!$B$18</f>
        <v>0.367525898317829</v>
      </c>
      <c r="O295" s="19" t="n">
        <f aca="false">O294+G295+H295+I295</f>
        <v>9.67540966949779</v>
      </c>
      <c r="P295" s="17" t="n">
        <f aca="false">P294+F295</f>
        <v>0.151752018985784</v>
      </c>
      <c r="Q295" s="6" t="n">
        <f aca="false">MIN(MATCH(A295,$S$3:$X$3,1),5)</f>
        <v>5</v>
      </c>
    </row>
    <row r="296" customFormat="false" ht="15" hidden="false" customHeight="false" outlineLevel="0" collapsed="false">
      <c r="A296" s="6" t="n">
        <v>289</v>
      </c>
      <c r="B296" s="14" t="n">
        <f aca="false">INDEX($S$4:$X$4,Q296)*(INDEX($S$4:$X$4,Q296+1)/INDEX($S$4:$X$4,Q296))^((LN(A296)-LN(INDEX($S$3:$X$3,Q296)))/(LN(INDEX($S$3:$X$3,Q296+1))-LN(INDEX($S$3:$X$3,Q296))))</f>
        <v>0.00667631292037051</v>
      </c>
      <c r="C296" s="33" t="n">
        <f aca="false">C295+B296</f>
        <v>8.14226258894822</v>
      </c>
      <c r="D296" s="36" t="n">
        <f aca="false">Допущения!$B$19*(1-EXP(-Допущения!$B$26*(A296+1)))</f>
        <v>0.0099999999999994</v>
      </c>
      <c r="E296" s="37" t="n">
        <f aca="false">D296-D295</f>
        <v>6.76542155630955E-017</v>
      </c>
      <c r="F296" s="37" t="n">
        <f aca="false">D296*MIN(1,B296*Допущения!$B$21)</f>
        <v>0.000166907823009253</v>
      </c>
      <c r="G296" s="17" t="n">
        <f aca="false">((B296-F296*Допущения!$B$23)*Допущения!$B$13*Допущения!$B$15+B296*Допущения!$B$14*Допущения!$B$16)/1000</f>
        <v>0.00656715520412245</v>
      </c>
      <c r="H296" s="17" t="n">
        <f aca="false">E296*Допущения!$B$27</f>
        <v>6.32566915514943E-015</v>
      </c>
      <c r="I296" s="17" t="n">
        <f aca="false">F296*Допущения!$B$22/30*Допущения!$B$28</f>
        <v>0.000808463017463977</v>
      </c>
      <c r="J296" s="17" t="n">
        <f aca="false">G296*Допущения!$B$17+(H296+I296)*Допущения!$B$18</f>
        <v>0.00368780911079638</v>
      </c>
      <c r="K296" s="19" t="n">
        <f aca="false">K295+J296</f>
        <v>4.84139264385968</v>
      </c>
      <c r="L296" s="19" t="n">
        <f aca="false">L295+G296*Допущения!$B$17</f>
        <v>4.00596251403316</v>
      </c>
      <c r="M296" s="19" t="n">
        <f aca="false">M295+H296*Допущения!$B$18</f>
        <v>0.467499999999972</v>
      </c>
      <c r="N296" s="19" t="n">
        <f aca="false">N295+I296*Допущения!$B$18</f>
        <v>0.367930129826561</v>
      </c>
      <c r="O296" s="19" t="n">
        <f aca="false">O295+G296+H296+I296</f>
        <v>9.68278528771938</v>
      </c>
      <c r="P296" s="17" t="n">
        <f aca="false">P295+F296</f>
        <v>0.151918926808793</v>
      </c>
      <c r="Q296" s="6" t="n">
        <f aca="false">MIN(MATCH(A296,$S$3:$X$3,1),5)</f>
        <v>5</v>
      </c>
    </row>
    <row r="297" customFormat="false" ht="15" hidden="false" customHeight="false" outlineLevel="0" collapsed="false">
      <c r="A297" s="6" t="n">
        <v>290</v>
      </c>
      <c r="B297" s="14" t="n">
        <f aca="false">INDEX($S$4:$X$4,Q297)*(INDEX($S$4:$X$4,Q297+1)/INDEX($S$4:$X$4,Q297))^((LN(A297)-LN(INDEX($S$3:$X$3,Q297)))/(LN(INDEX($S$3:$X$3,Q297+1))-LN(INDEX($S$3:$X$3,Q297))))</f>
        <v>0.00664781469823195</v>
      </c>
      <c r="C297" s="33" t="n">
        <f aca="false">C296+B297</f>
        <v>8.14891040364645</v>
      </c>
      <c r="D297" s="36" t="n">
        <f aca="false">Допущения!$B$19*(1-EXP(-Допущения!$B$26*(A297+1)))</f>
        <v>0.00999999999999946</v>
      </c>
      <c r="E297" s="37" t="n">
        <f aca="false">D297-D296</f>
        <v>5.89805981832114E-017</v>
      </c>
      <c r="F297" s="37" t="n">
        <f aca="false">D297*MIN(1,B297*Допущения!$B$21)</f>
        <v>0.00016619536745579</v>
      </c>
      <c r="G297" s="17" t="n">
        <f aca="false">((B297-F297*Допущения!$B$23)*Допущения!$B$13*Допущения!$B$15+B297*Допущения!$B$14*Допущения!$B$16)/1000</f>
        <v>0.00653912292791586</v>
      </c>
      <c r="H297" s="17" t="n">
        <f aca="false">E297*Допущения!$B$27</f>
        <v>5.51468593013027E-015</v>
      </c>
      <c r="I297" s="17" t="n">
        <f aca="false">F297*Допущения!$B$22/30*Допущения!$B$28</f>
        <v>0.000805012047005092</v>
      </c>
      <c r="J297" s="17" t="n">
        <f aca="false">G297*Допущения!$B$17+(H297+I297)*Допущения!$B$18</f>
        <v>0.00367206748746323</v>
      </c>
      <c r="K297" s="19" t="n">
        <f aca="false">K296+J297</f>
        <v>4.84506471134715</v>
      </c>
      <c r="L297" s="19" t="n">
        <f aca="false">L296+G297*Допущения!$B$17</f>
        <v>4.00923207549712</v>
      </c>
      <c r="M297" s="19" t="n">
        <f aca="false">M296+H297*Допущения!$B$18</f>
        <v>0.467499999999975</v>
      </c>
      <c r="N297" s="19" t="n">
        <f aca="false">N296+I297*Допущения!$B$18</f>
        <v>0.368332635850064</v>
      </c>
      <c r="O297" s="19" t="n">
        <f aca="false">O296+G297+H297+I297</f>
        <v>9.69012942269431</v>
      </c>
      <c r="P297" s="17" t="n">
        <f aca="false">P296+F297</f>
        <v>0.152085122176249</v>
      </c>
      <c r="Q297" s="6" t="n">
        <f aca="false">MIN(MATCH(A297,$S$3:$X$3,1),5)</f>
        <v>5</v>
      </c>
    </row>
    <row r="298" customFormat="false" ht="15" hidden="false" customHeight="false" outlineLevel="0" collapsed="false">
      <c r="A298" s="6" t="n">
        <v>291</v>
      </c>
      <c r="B298" s="14" t="n">
        <f aca="false">INDEX($S$4:$X$4,Q298)*(INDEX($S$4:$X$4,Q298+1)/INDEX($S$4:$X$4,Q298))^((LN(A298)-LN(INDEX($S$3:$X$3,Q298)))/(LN(INDEX($S$3:$X$3,Q298+1))-LN(INDEX($S$3:$X$3,Q298))))</f>
        <v>0.00661953559635606</v>
      </c>
      <c r="C298" s="33" t="n">
        <f aca="false">C297+B298</f>
        <v>8.15552993924281</v>
      </c>
      <c r="D298" s="36" t="n">
        <f aca="false">Допущения!$B$19*(1-EXP(-Допущения!$B$26*(A298+1)))</f>
        <v>0.00999999999999951</v>
      </c>
      <c r="E298" s="37" t="n">
        <f aca="false">D298-D297</f>
        <v>5.3776427755281E-017</v>
      </c>
      <c r="F298" s="37" t="n">
        <f aca="false">D298*MIN(1,B298*Допущения!$B$21)</f>
        <v>0.000165488389908893</v>
      </c>
      <c r="G298" s="17" t="n">
        <f aca="false">((B298-F298*Допущения!$B$23)*Допущения!$B$13*Допущения!$B$15+B298*Допущения!$B$14*Допущения!$B$16)/1000</f>
        <v>0.00651130618935564</v>
      </c>
      <c r="H298" s="17" t="n">
        <f aca="false">E298*Допущения!$B$27</f>
        <v>5.02809599511878E-015</v>
      </c>
      <c r="I298" s="17" t="n">
        <f aca="false">F298*Допущения!$B$22/30*Допущения!$B$28</f>
        <v>0.000801587610747174</v>
      </c>
      <c r="J298" s="17" t="n">
        <f aca="false">G298*Допущения!$B$17+(H298+I298)*Допущения!$B$18</f>
        <v>0.00365644690005392</v>
      </c>
      <c r="K298" s="19" t="n">
        <f aca="false">K297+J298</f>
        <v>4.8487211582472</v>
      </c>
      <c r="L298" s="19" t="n">
        <f aca="false">L297+G298*Допущения!$B$17</f>
        <v>4.01248772859179</v>
      </c>
      <c r="M298" s="19" t="n">
        <f aca="false">M297+H298*Допущения!$B$18</f>
        <v>0.467499999999978</v>
      </c>
      <c r="N298" s="19" t="n">
        <f aca="false">N297+I298*Допущения!$B$18</f>
        <v>0.368733429655437</v>
      </c>
      <c r="O298" s="19" t="n">
        <f aca="false">O297+G298+H298+I298</f>
        <v>9.69744231649441</v>
      </c>
      <c r="P298" s="17" t="n">
        <f aca="false">P297+F298</f>
        <v>0.152250610566158</v>
      </c>
      <c r="Q298" s="6" t="n">
        <f aca="false">MIN(MATCH(A298,$S$3:$X$3,1),5)</f>
        <v>5</v>
      </c>
    </row>
    <row r="299" customFormat="false" ht="15" hidden="false" customHeight="false" outlineLevel="0" collapsed="false">
      <c r="A299" s="6" t="n">
        <v>292</v>
      </c>
      <c r="B299" s="14" t="n">
        <f aca="false">INDEX($S$4:$X$4,Q299)*(INDEX($S$4:$X$4,Q299+1)/INDEX($S$4:$X$4,Q299))^((LN(A299)-LN(INDEX($S$3:$X$3,Q299)))/(LN(INDEX($S$3:$X$3,Q299+1))-LN(INDEX($S$3:$X$3,Q299))))</f>
        <v>0.00659147318560986</v>
      </c>
      <c r="C299" s="33" t="n">
        <f aca="false">C298+B299</f>
        <v>8.16212141242842</v>
      </c>
      <c r="D299" s="36" t="n">
        <f aca="false">Допущения!$B$19*(1-EXP(-Допущения!$B$26*(A299+1)))</f>
        <v>0.00999999999999956</v>
      </c>
      <c r="E299" s="37" t="n">
        <f aca="false">D299-D298</f>
        <v>4.85722573273506E-017</v>
      </c>
      <c r="F299" s="37" t="n">
        <f aca="false">D299*MIN(1,B299*Допущения!$B$21)</f>
        <v>0.000164786829640239</v>
      </c>
      <c r="G299" s="17" t="n">
        <f aca="false">((B299-F299*Допущения!$B$23)*Допущения!$B$13*Допущения!$B$15+B299*Допущения!$B$14*Допущения!$B$16)/1000</f>
        <v>0.00648370259902514</v>
      </c>
      <c r="H299" s="17" t="n">
        <f aca="false">E299*Допущения!$B$27</f>
        <v>4.54150606010728E-015</v>
      </c>
      <c r="I299" s="17" t="n">
        <f aca="false">F299*Допущения!$B$22/30*Допущения!$B$28</f>
        <v>0.000798189414536218</v>
      </c>
      <c r="J299" s="17" t="n">
        <f aca="false">G299*Допущения!$B$17+(H299+I299)*Допущения!$B$18</f>
        <v>0.00364094600678295</v>
      </c>
      <c r="K299" s="19" t="n">
        <f aca="false">K298+J299</f>
        <v>4.85236210425398</v>
      </c>
      <c r="L299" s="19" t="n">
        <f aca="false">L298+G299*Допущения!$B$17</f>
        <v>4.01572957989131</v>
      </c>
      <c r="M299" s="19" t="n">
        <f aca="false">M298+H299*Допущения!$B$18</f>
        <v>0.46749999999998</v>
      </c>
      <c r="N299" s="19" t="n">
        <f aca="false">N298+I299*Допущения!$B$18</f>
        <v>0.369132524362705</v>
      </c>
      <c r="O299" s="19" t="n">
        <f aca="false">O298+G299+H299+I299</f>
        <v>9.70472420850798</v>
      </c>
      <c r="P299" s="17" t="n">
        <f aca="false">P298+F299</f>
        <v>0.152415397395798</v>
      </c>
      <c r="Q299" s="6" t="n">
        <f aca="false">MIN(MATCH(A299,$S$3:$X$3,1),5)</f>
        <v>5</v>
      </c>
    </row>
    <row r="300" customFormat="false" ht="15" hidden="false" customHeight="false" outlineLevel="0" collapsed="false">
      <c r="A300" s="6" t="n">
        <v>293</v>
      </c>
      <c r="B300" s="14" t="n">
        <f aca="false">INDEX($S$4:$X$4,Q300)*(INDEX($S$4:$X$4,Q300+1)/INDEX($S$4:$X$4,Q300))^((LN(A300)-LN(INDEX($S$3:$X$3,Q300)))/(LN(INDEX($S$3:$X$3,Q300+1))-LN(INDEX($S$3:$X$3,Q300))))</f>
        <v>0.00656362507198464</v>
      </c>
      <c r="C300" s="33" t="n">
        <f aca="false">C299+B300</f>
        <v>8.1686850375004</v>
      </c>
      <c r="D300" s="36" t="n">
        <f aca="false">Допущения!$B$19*(1-EXP(-Допущения!$B$26*(A300+1)))</f>
        <v>0.00999999999999961</v>
      </c>
      <c r="E300" s="37" t="n">
        <f aca="false">D300-D299</f>
        <v>4.33680868994202E-017</v>
      </c>
      <c r="F300" s="37" t="n">
        <f aca="false">D300*MIN(1,B300*Допущения!$B$21)</f>
        <v>0.000164090626799609</v>
      </c>
      <c r="G300" s="17" t="n">
        <f aca="false">((B300-F300*Допущения!$B$23)*Допущения!$B$13*Допущения!$B$15+B300*Допущения!$B$14*Допущения!$B$16)/1000</f>
        <v>0.00645630980205769</v>
      </c>
      <c r="H300" s="17" t="n">
        <f aca="false">E300*Допущения!$B$27</f>
        <v>4.05491612509579E-015</v>
      </c>
      <c r="I300" s="17" t="n">
        <f aca="false">F300*Допущения!$B$22/30*Допущения!$B$28</f>
        <v>0.000794817168471566</v>
      </c>
      <c r="J300" s="17" t="n">
        <f aca="false">G300*Допущения!$B$17+(H300+I300)*Допущения!$B$18</f>
        <v>0.00362556348526665</v>
      </c>
      <c r="K300" s="19" t="n">
        <f aca="false">K299+J300</f>
        <v>4.85598766773925</v>
      </c>
      <c r="L300" s="19" t="n">
        <f aca="false">L299+G300*Допущения!$B$17</f>
        <v>4.01895773479234</v>
      </c>
      <c r="M300" s="19" t="n">
        <f aca="false">M299+H300*Допущения!$B$18</f>
        <v>0.467499999999982</v>
      </c>
      <c r="N300" s="19" t="n">
        <f aca="false">N299+I300*Допущения!$B$18</f>
        <v>0.369529932946941</v>
      </c>
      <c r="O300" s="19" t="n">
        <f aca="false">O299+G300+H300+I300</f>
        <v>9.71197533547852</v>
      </c>
      <c r="P300" s="17" t="n">
        <f aca="false">P299+F300</f>
        <v>0.152579488022598</v>
      </c>
      <c r="Q300" s="6" t="n">
        <f aca="false">MIN(MATCH(A300,$S$3:$X$3,1),5)</f>
        <v>5</v>
      </c>
    </row>
    <row r="301" customFormat="false" ht="15" hidden="false" customHeight="false" outlineLevel="0" collapsed="false">
      <c r="A301" s="6" t="n">
        <v>294</v>
      </c>
      <c r="B301" s="14" t="n">
        <f aca="false">INDEX($S$4:$X$4,Q301)*(INDEX($S$4:$X$4,Q301+1)/INDEX($S$4:$X$4,Q301))^((LN(A301)-LN(INDEX($S$3:$X$3,Q301)))/(LN(INDEX($S$3:$X$3,Q301+1))-LN(INDEX($S$3:$X$3,Q301))))</f>
        <v>0.00653598889597039</v>
      </c>
      <c r="C301" s="33" t="n">
        <f aca="false">C300+B301</f>
        <v>8.17522102639637</v>
      </c>
      <c r="D301" s="36" t="n">
        <f aca="false">Допущения!$B$19*(1-EXP(-Допущения!$B$26*(A301+1)))</f>
        <v>0.00999999999999965</v>
      </c>
      <c r="E301" s="37" t="n">
        <f aca="false">D301-D300</f>
        <v>3.98986399474666E-017</v>
      </c>
      <c r="F301" s="37" t="n">
        <f aca="false">D301*MIN(1,B301*Допущения!$B$21)</f>
        <v>0.000163399722399254</v>
      </c>
      <c r="G301" s="17" t="n">
        <f aca="false">((B301-F301*Допущения!$B$23)*Допущения!$B$13*Допущения!$B$15+B301*Допущения!$B$14*Допущения!$B$16)/1000</f>
        <v>0.00642912547752128</v>
      </c>
      <c r="H301" s="17" t="n">
        <f aca="false">E301*Допущения!$B$27</f>
        <v>3.73052283508812E-015</v>
      </c>
      <c r="I301" s="17" t="n">
        <f aca="false">F301*Допущения!$B$22/30*Допущения!$B$28</f>
        <v>0.000791470586830156</v>
      </c>
      <c r="J301" s="17" t="n">
        <f aca="false">G301*Допущения!$B$17+(H301+I301)*Допущения!$B$18</f>
        <v>0.00361029803217758</v>
      </c>
      <c r="K301" s="19" t="n">
        <f aca="false">K300+J301</f>
        <v>4.85959796577143</v>
      </c>
      <c r="L301" s="19" t="n">
        <f aca="false">L300+G301*Допущения!$B$17</f>
        <v>4.0221722975311</v>
      </c>
      <c r="M301" s="19" t="n">
        <f aca="false">M300+H301*Допущения!$B$18</f>
        <v>0.467499999999984</v>
      </c>
      <c r="N301" s="19" t="n">
        <f aca="false">N300+I301*Допущения!$B$18</f>
        <v>0.369925668240356</v>
      </c>
      <c r="O301" s="19" t="n">
        <f aca="false">O300+G301+H301+I301</f>
        <v>9.71919593154287</v>
      </c>
      <c r="P301" s="17" t="n">
        <f aca="false">P300+F301</f>
        <v>0.152742887744997</v>
      </c>
      <c r="Q301" s="6" t="n">
        <f aca="false">MIN(MATCH(A301,$S$3:$X$3,1),5)</f>
        <v>5</v>
      </c>
    </row>
    <row r="302" customFormat="false" ht="15" hidden="false" customHeight="false" outlineLevel="0" collapsed="false">
      <c r="A302" s="6" t="n">
        <v>295</v>
      </c>
      <c r="B302" s="14" t="n">
        <f aca="false">INDEX($S$4:$X$4,Q302)*(INDEX($S$4:$X$4,Q302+1)/INDEX($S$4:$X$4,Q302))^((LN(A302)-LN(INDEX($S$3:$X$3,Q302)))/(LN(INDEX($S$3:$X$3,Q302+1))-LN(INDEX($S$3:$X$3,Q302))))</f>
        <v>0.00650856233194347</v>
      </c>
      <c r="C302" s="33" t="n">
        <f aca="false">C301+B302</f>
        <v>8.18172958872832</v>
      </c>
      <c r="D302" s="36" t="n">
        <f aca="false">Допущения!$B$19*(1-EXP(-Допущения!$B$26*(A302+1)))</f>
        <v>0.00999999999999968</v>
      </c>
      <c r="E302" s="37" t="n">
        <f aca="false">D302-D301</f>
        <v>3.6429192995513E-017</v>
      </c>
      <c r="F302" s="37" t="n">
        <f aca="false">D302*MIN(1,B302*Допущения!$B$21)</f>
        <v>0.000162714058298581</v>
      </c>
      <c r="G302" s="17" t="n">
        <f aca="false">((B302-F302*Допущения!$B$23)*Допущения!$B$13*Допущения!$B$15+B302*Допущения!$B$14*Допущения!$B$16)/1000</f>
        <v>0.00640214733781619</v>
      </c>
      <c r="H302" s="17" t="n">
        <f aca="false">E302*Допущения!$B$27</f>
        <v>3.40612954508046E-015</v>
      </c>
      <c r="I302" s="17" t="n">
        <f aca="false">F302*Допущения!$B$22/30*Допущения!$B$28</f>
        <v>0.000788149387992366</v>
      </c>
      <c r="J302" s="17" t="n">
        <f aca="false">G302*Допущения!$B$17+(H302+I302)*Допущения!$B$18</f>
        <v>0.00359514836290598</v>
      </c>
      <c r="K302" s="19" t="n">
        <f aca="false">K301+J302</f>
        <v>4.86319311413433</v>
      </c>
      <c r="L302" s="19" t="n">
        <f aca="false">L301+G302*Допущения!$B$17</f>
        <v>4.0253733712</v>
      </c>
      <c r="M302" s="19" t="n">
        <f aca="false">M301+H302*Допущения!$B$18</f>
        <v>0.467499999999986</v>
      </c>
      <c r="N302" s="19" t="n">
        <f aca="false">N301+I302*Допущения!$B$18</f>
        <v>0.370319742934352</v>
      </c>
      <c r="O302" s="19" t="n">
        <f aca="false">O301+G302+H302+I302</f>
        <v>9.72638622826868</v>
      </c>
      <c r="P302" s="17" t="n">
        <f aca="false">P301+F302</f>
        <v>0.152905601803296</v>
      </c>
      <c r="Q302" s="6" t="n">
        <f aca="false">MIN(MATCH(A302,$S$3:$X$3,1),5)</f>
        <v>5</v>
      </c>
    </row>
    <row r="303" customFormat="false" ht="15" hidden="false" customHeight="false" outlineLevel="0" collapsed="false">
      <c r="A303" s="6" t="n">
        <v>296</v>
      </c>
      <c r="B303" s="14" t="n">
        <f aca="false">INDEX($S$4:$X$4,Q303)*(INDEX($S$4:$X$4,Q303+1)/INDEX($S$4:$X$4,Q303))^((LN(A303)-LN(INDEX($S$3:$X$3,Q303)))/(LN(INDEX($S$3:$X$3,Q303+1))-LN(INDEX($S$3:$X$3,Q303))))</f>
        <v>0.00648134308756714</v>
      </c>
      <c r="C303" s="33" t="n">
        <f aca="false">C302+B303</f>
        <v>8.18821093181588</v>
      </c>
      <c r="D303" s="36" t="n">
        <f aca="false">Допущения!$B$19*(1-EXP(-Допущения!$B$26*(A303+1)))</f>
        <v>0.00999999999999971</v>
      </c>
      <c r="E303" s="37" t="n">
        <f aca="false">D303-D302</f>
        <v>0</v>
      </c>
      <c r="F303" s="37" t="n">
        <f aca="false">D303*MIN(1,B303*Допущения!$B$21)</f>
        <v>0.000162033577189174</v>
      </c>
      <c r="G303" s="17" t="n">
        <f aca="false">((B303-F303*Допущения!$B$23)*Допущения!$B$13*Допущения!$B$15+B303*Допущения!$B$14*Допущения!$B$16)/1000</f>
        <v>0.00637537312808542</v>
      </c>
      <c r="H303" s="17" t="n">
        <f aca="false">E303*Допущения!$B$27</f>
        <v>0</v>
      </c>
      <c r="I303" s="17" t="n">
        <f aca="false">F303*Допущения!$B$22/30*Допущения!$B$28</f>
        <v>0.00078485329436943</v>
      </c>
      <c r="J303" s="17" t="n">
        <f aca="false">G303*Допущения!$B$17+(H303+I303)*Допущения!$B$18</f>
        <v>0.00358011321122742</v>
      </c>
      <c r="K303" s="19" t="n">
        <f aca="false">K302+J303</f>
        <v>4.86677322734556</v>
      </c>
      <c r="L303" s="19" t="n">
        <f aca="false">L302+G303*Допущения!$B$17</f>
        <v>4.02856105776405</v>
      </c>
      <c r="M303" s="19" t="n">
        <f aca="false">M302+H303*Допущения!$B$18</f>
        <v>0.467499999999986</v>
      </c>
      <c r="N303" s="19" t="n">
        <f aca="false">N302+I303*Допущения!$B$18</f>
        <v>0.370712169581537</v>
      </c>
      <c r="O303" s="19" t="n">
        <f aca="false">O302+G303+H303+I303</f>
        <v>9.73354645469114</v>
      </c>
      <c r="P303" s="17" t="n">
        <f aca="false">P302+F303</f>
        <v>0.153067635380485</v>
      </c>
      <c r="Q303" s="6" t="n">
        <f aca="false">MIN(MATCH(A303,$S$3:$X$3,1),5)</f>
        <v>5</v>
      </c>
    </row>
    <row r="304" customFormat="false" ht="15" hidden="false" customHeight="false" outlineLevel="0" collapsed="false">
      <c r="A304" s="6" t="n">
        <v>297</v>
      </c>
      <c r="B304" s="14" t="n">
        <f aca="false">INDEX($S$4:$X$4,Q304)*(INDEX($S$4:$X$4,Q304+1)/INDEX($S$4:$X$4,Q304))^((LN(A304)-LN(INDEX($S$3:$X$3,Q304)))/(LN(INDEX($S$3:$X$3,Q304+1))-LN(INDEX($S$3:$X$3,Q304))))</f>
        <v>0.00645432890320468</v>
      </c>
      <c r="C304" s="33" t="n">
        <f aca="false">C303+B304</f>
        <v>8.19466526071909</v>
      </c>
      <c r="D304" s="36" t="n">
        <f aca="false">Допущения!$B$19*(1-EXP(-Допущения!$B$26*(A304+1)))</f>
        <v>0.00999999999999974</v>
      </c>
      <c r="E304" s="37" t="n">
        <f aca="false">D304-D303</f>
        <v>0</v>
      </c>
      <c r="F304" s="37" t="n">
        <f aca="false">D304*MIN(1,B304*Допущения!$B$21)</f>
        <v>0.000161358222580113</v>
      </c>
      <c r="G304" s="17" t="n">
        <f aca="false">((B304-F304*Допущения!$B$23)*Допущения!$B$13*Допущения!$B$15+B304*Допущения!$B$14*Допущения!$B$16)/1000</f>
        <v>0.00634880062563729</v>
      </c>
      <c r="H304" s="17" t="n">
        <f aca="false">E304*Допущения!$B$27</f>
        <v>0</v>
      </c>
      <c r="I304" s="17" t="n">
        <f aca="false">F304*Допущения!$B$22/30*Допущения!$B$28</f>
        <v>0.000781582032332363</v>
      </c>
      <c r="J304" s="17" t="n">
        <f aca="false">G304*Допущения!$B$17+(H304+I304)*Допущения!$B$18</f>
        <v>0.00356519132898482</v>
      </c>
      <c r="K304" s="19" t="n">
        <f aca="false">K303+J304</f>
        <v>4.87033841867455</v>
      </c>
      <c r="L304" s="19" t="n">
        <f aca="false">L303+G304*Допущения!$B$17</f>
        <v>4.03173545807687</v>
      </c>
      <c r="M304" s="19" t="n">
        <f aca="false">M303+H304*Допущения!$B$18</f>
        <v>0.467499999999986</v>
      </c>
      <c r="N304" s="19" t="n">
        <f aca="false">N303+I304*Допущения!$B$18</f>
        <v>0.371102960597703</v>
      </c>
      <c r="O304" s="19" t="n">
        <f aca="false">O303+G304+H304+I304</f>
        <v>9.7406768373491</v>
      </c>
      <c r="P304" s="17" t="n">
        <f aca="false">P303+F304</f>
        <v>0.153228993603065</v>
      </c>
      <c r="Q304" s="6" t="n">
        <f aca="false">MIN(MATCH(A304,$S$3:$X$3,1),5)</f>
        <v>5</v>
      </c>
    </row>
    <row r="305" customFormat="false" ht="15" hidden="false" customHeight="false" outlineLevel="0" collapsed="false">
      <c r="A305" s="6" t="n">
        <v>298</v>
      </c>
      <c r="B305" s="14" t="n">
        <f aca="false">INDEX($S$4:$X$4,Q305)*(INDEX($S$4:$X$4,Q305+1)/INDEX($S$4:$X$4,Q305))^((LN(A305)-LN(INDEX($S$3:$X$3,Q305)))/(LN(INDEX($S$3:$X$3,Q305+1))-LN(INDEX($S$3:$X$3,Q305))))</f>
        <v>0.00642751755134484</v>
      </c>
      <c r="C305" s="33" t="n">
        <f aca="false">C304+B305</f>
        <v>8.20109277827043</v>
      </c>
      <c r="D305" s="36" t="n">
        <f aca="false">Допущения!$B$19*(1-EXP(-Допущения!$B$26*(A305+1)))</f>
        <v>0.00999999999999977</v>
      </c>
      <c r="E305" s="37" t="n">
        <f aca="false">D305-D304</f>
        <v>0</v>
      </c>
      <c r="F305" s="37" t="n">
        <f aca="false">D305*MIN(1,B305*Допущения!$B$21)</f>
        <v>0.000160687938783617</v>
      </c>
      <c r="G305" s="17" t="n">
        <f aca="false">((B305-F305*Допущения!$B$23)*Допущения!$B$13*Допущения!$B$15+B305*Допущения!$B$14*Допущения!$B$16)/1000</f>
        <v>0.00632242763938035</v>
      </c>
      <c r="H305" s="17" t="n">
        <f aca="false">E305*Допущения!$B$27</f>
        <v>0</v>
      </c>
      <c r="I305" s="17" t="n">
        <f aca="false">F305*Допущения!$B$22/30*Допущения!$B$28</f>
        <v>0.00077833533214239</v>
      </c>
      <c r="J305" s="17" t="n">
        <f aca="false">G305*Допущения!$B$17+(H305+I305)*Допущения!$B$18</f>
        <v>0.00355038148576137</v>
      </c>
      <c r="K305" s="19" t="n">
        <f aca="false">K304+J305</f>
        <v>4.87388880016031</v>
      </c>
      <c r="L305" s="19" t="n">
        <f aca="false">L304+G305*Допущения!$B$17</f>
        <v>4.03489667189656</v>
      </c>
      <c r="M305" s="19" t="n">
        <f aca="false">M304+H305*Допущения!$B$18</f>
        <v>0.467499999999986</v>
      </c>
      <c r="N305" s="19" t="n">
        <f aca="false">N304+I305*Допущения!$B$18</f>
        <v>0.371492128263774</v>
      </c>
      <c r="O305" s="19" t="n">
        <f aca="false">O304+G305+H305+I305</f>
        <v>9.74777760032063</v>
      </c>
      <c r="P305" s="17" t="n">
        <f aca="false">P304+F305</f>
        <v>0.153389681541849</v>
      </c>
      <c r="Q305" s="6" t="n">
        <f aca="false">MIN(MATCH(A305,$S$3:$X$3,1),5)</f>
        <v>5</v>
      </c>
    </row>
    <row r="306" customFormat="false" ht="15" hidden="false" customHeight="false" outlineLevel="0" collapsed="false">
      <c r="A306" s="6" t="n">
        <v>299</v>
      </c>
      <c r="B306" s="14" t="n">
        <f aca="false">INDEX($S$4:$X$4,Q306)*(INDEX($S$4:$X$4,Q306+1)/INDEX($S$4:$X$4,Q306))^((LN(A306)-LN(INDEX($S$3:$X$3,Q306)))/(LN(INDEX($S$3:$X$3,Q306+1))-LN(INDEX($S$3:$X$3,Q306))))</f>
        <v>0.0064009068360392</v>
      </c>
      <c r="C306" s="33" t="n">
        <f aca="false">C305+B306</f>
        <v>8.20749368510647</v>
      </c>
      <c r="D306" s="36" t="n">
        <f aca="false">Допущения!$B$19*(1-EXP(-Допущения!$B$26*(A306+1)))</f>
        <v>0.00999999999999979</v>
      </c>
      <c r="E306" s="37" t="n">
        <f aca="false">D306-D305</f>
        <v>0</v>
      </c>
      <c r="F306" s="37" t="n">
        <f aca="false">D306*MIN(1,B306*Допущения!$B$21)</f>
        <v>0.000160022670900977</v>
      </c>
      <c r="G306" s="17" t="n">
        <f aca="false">((B306-F306*Допущения!$B$23)*Допущения!$B$13*Допущения!$B$15+B306*Допущения!$B$14*Допущения!$B$16)/1000</f>
        <v>0.00629625200926995</v>
      </c>
      <c r="H306" s="17" t="n">
        <f aca="false">E306*Допущения!$B$27</f>
        <v>0</v>
      </c>
      <c r="I306" s="17" t="n">
        <f aca="false">F306*Допущения!$B$22/30*Допущения!$B$28</f>
        <v>0.000775112927882814</v>
      </c>
      <c r="J306" s="17" t="n">
        <f aca="false">G306*Допущения!$B$17+(H306+I306)*Допущения!$B$18</f>
        <v>0.00353568246857638</v>
      </c>
      <c r="K306" s="19" t="n">
        <f aca="false">K305+J306</f>
        <v>4.87742448262888</v>
      </c>
      <c r="L306" s="19" t="n">
        <f aca="false">L305+G306*Допущения!$B$17</f>
        <v>4.03804479790119</v>
      </c>
      <c r="M306" s="19" t="n">
        <f aca="false">M305+H306*Допущения!$B$18</f>
        <v>0.467499999999986</v>
      </c>
      <c r="N306" s="19" t="n">
        <f aca="false">N305+I306*Допущения!$B$18</f>
        <v>0.371879684727716</v>
      </c>
      <c r="O306" s="19" t="n">
        <f aca="false">O305+G306+H306+I306</f>
        <v>9.75484896525778</v>
      </c>
      <c r="P306" s="17" t="n">
        <f aca="false">P305+F306</f>
        <v>0.15354970421275</v>
      </c>
      <c r="Q306" s="6" t="n">
        <f aca="false">MIN(MATCH(A306,$S$3:$X$3,1),5)</f>
        <v>5</v>
      </c>
    </row>
    <row r="307" customFormat="false" ht="15" hidden="false" customHeight="false" outlineLevel="0" collapsed="false">
      <c r="A307" s="6" t="n">
        <v>300</v>
      </c>
      <c r="B307" s="14" t="n">
        <f aca="false">INDEX($S$4:$X$4,Q307)*(INDEX($S$4:$X$4,Q307+1)/INDEX($S$4:$X$4,Q307))^((LN(A307)-LN(INDEX($S$3:$X$3,Q307)))/(LN(INDEX($S$3:$X$3,Q307+1))-LN(INDEX($S$3:$X$3,Q307))))</f>
        <v>0.00637449459235127</v>
      </c>
      <c r="C307" s="33" t="n">
        <f aca="false">C306+B307</f>
        <v>8.21386817969882</v>
      </c>
      <c r="D307" s="36" t="n">
        <f aca="false">Допущения!$B$19*(1-EXP(-Допущения!$B$26*(A307+1)))</f>
        <v>0.00999999999999981</v>
      </c>
      <c r="E307" s="37" t="n">
        <f aca="false">D307-D306</f>
        <v>0</v>
      </c>
      <c r="F307" s="37" t="n">
        <f aca="false">D307*MIN(1,B307*Допущения!$B$21)</f>
        <v>0.000159362364808779</v>
      </c>
      <c r="G307" s="17" t="n">
        <f aca="false">((B307-F307*Допущения!$B$23)*Допущения!$B$13*Допущения!$B$15+B307*Допущения!$B$14*Допущения!$B$16)/1000</f>
        <v>0.00627027160576633</v>
      </c>
      <c r="H307" s="17" t="n">
        <f aca="false">E307*Допущения!$B$27</f>
        <v>0</v>
      </c>
      <c r="I307" s="17" t="n">
        <f aca="false">F307*Допущения!$B$22/30*Допущения!$B$28</f>
        <v>0.000771914557392304</v>
      </c>
      <c r="J307" s="17" t="n">
        <f aca="false">G307*Допущения!$B$17+(H307+I307)*Допущения!$B$18</f>
        <v>0.00352109308157932</v>
      </c>
      <c r="K307" s="19" t="n">
        <f aca="false">K306+J307</f>
        <v>4.88094557571046</v>
      </c>
      <c r="L307" s="19" t="n">
        <f aca="false">L306+G307*Допущения!$B$17</f>
        <v>4.04117993370407</v>
      </c>
      <c r="M307" s="19" t="n">
        <f aca="false">M306+H307*Допущения!$B$18</f>
        <v>0.467499999999986</v>
      </c>
      <c r="N307" s="19" t="n">
        <f aca="false">N306+I307*Допущения!$B$18</f>
        <v>0.372265642006412</v>
      </c>
      <c r="O307" s="19" t="n">
        <f aca="false">O306+G307+H307+I307</f>
        <v>9.76189115142094</v>
      </c>
      <c r="P307" s="17" t="n">
        <f aca="false">P306+F307</f>
        <v>0.153709066577558</v>
      </c>
      <c r="Q307" s="6" t="n">
        <f aca="false">MIN(MATCH(A307,$S$3:$X$3,1),5)</f>
        <v>5</v>
      </c>
    </row>
    <row r="308" customFormat="false" ht="15" hidden="false" customHeight="false" outlineLevel="0" collapsed="false">
      <c r="A308" s="6" t="n">
        <v>301</v>
      </c>
      <c r="B308" s="14" t="n">
        <f aca="false">INDEX($S$4:$X$4,Q308)*(INDEX($S$4:$X$4,Q308+1)/INDEX($S$4:$X$4,Q308))^((LN(A308)-LN(INDEX($S$3:$X$3,Q308)))/(LN(INDEX($S$3:$X$3,Q308+1))-LN(INDEX($S$3:$X$3,Q308))))</f>
        <v>0.00634827868581701</v>
      </c>
      <c r="C308" s="33" t="n">
        <f aca="false">C307+B308</f>
        <v>8.22021645838464</v>
      </c>
      <c r="D308" s="36" t="n">
        <f aca="false">Допущения!$B$19*(1-EXP(-Допущения!$B$26*(A308+1)))</f>
        <v>0.00999999999999983</v>
      </c>
      <c r="E308" s="37" t="n">
        <f aca="false">D308-D307</f>
        <v>0</v>
      </c>
      <c r="F308" s="37" t="n">
        <f aca="false">D308*MIN(1,B308*Допущения!$B$21)</f>
        <v>0.000158706967145423</v>
      </c>
      <c r="G308" s="17" t="n">
        <f aca="false">((B308-F308*Допущения!$B$23)*Допущения!$B$13*Допущения!$B$15+B308*Допущения!$B$14*Допущения!$B$16)/1000</f>
        <v>0.00624448432930391</v>
      </c>
      <c r="H308" s="17" t="n">
        <f aca="false">E308*Допущения!$B$27</f>
        <v>0</v>
      </c>
      <c r="I308" s="17" t="n">
        <f aca="false">F308*Допущения!$B$22/30*Допущения!$B$28</f>
        <v>0.000768739962199565</v>
      </c>
      <c r="J308" s="17" t="n">
        <f aca="false">G308*Допущения!$B$17+(H308+I308)*Допущения!$B$18</f>
        <v>0.00350661214575174</v>
      </c>
      <c r="K308" s="19" t="n">
        <f aca="false">K307+J308</f>
        <v>4.88445218785622</v>
      </c>
      <c r="L308" s="19" t="n">
        <f aca="false">L307+G308*Допущения!$B$17</f>
        <v>4.04430217586873</v>
      </c>
      <c r="M308" s="19" t="n">
        <f aca="false">M307+H308*Допущения!$B$18</f>
        <v>0.467499999999986</v>
      </c>
      <c r="N308" s="19" t="n">
        <f aca="false">N307+I308*Допущения!$B$18</f>
        <v>0.372650011987512</v>
      </c>
      <c r="O308" s="19" t="n">
        <f aca="false">O307+G308+H308+I308</f>
        <v>9.76890437571244</v>
      </c>
      <c r="P308" s="17" t="n">
        <f aca="false">P307+F308</f>
        <v>0.153867773544704</v>
      </c>
      <c r="Q308" s="6" t="n">
        <f aca="false">MIN(MATCH(A308,$S$3:$X$3,1),5)</f>
        <v>5</v>
      </c>
    </row>
    <row r="309" customFormat="false" ht="15" hidden="false" customHeight="false" outlineLevel="0" collapsed="false">
      <c r="A309" s="6" t="n">
        <v>302</v>
      </c>
      <c r="B309" s="14" t="n">
        <f aca="false">INDEX($S$4:$X$4,Q309)*(INDEX($S$4:$X$4,Q309+1)/INDEX($S$4:$X$4,Q309))^((LN(A309)-LN(INDEX($S$3:$X$3,Q309)))/(LN(INDEX($S$3:$X$3,Q309+1))-LN(INDEX($S$3:$X$3,Q309))))</f>
        <v>0.00632225701191647</v>
      </c>
      <c r="C309" s="33" t="n">
        <f aca="false">C308+B309</f>
        <v>8.22653871539656</v>
      </c>
      <c r="D309" s="36" t="n">
        <f aca="false">Допущения!$B$19*(1-EXP(-Допущения!$B$26*(A309+1)))</f>
        <v>0.00999999999999985</v>
      </c>
      <c r="E309" s="37" t="n">
        <f aca="false">D309-D308</f>
        <v>0</v>
      </c>
      <c r="F309" s="37" t="n">
        <f aca="false">D309*MIN(1,B309*Допущения!$B$21)</f>
        <v>0.000158056425297909</v>
      </c>
      <c r="G309" s="17" t="n">
        <f aca="false">((B309-F309*Допущения!$B$23)*Допущения!$B$13*Допущения!$B$15+B309*Допущения!$B$14*Допущения!$B$16)/1000</f>
        <v>0.00621888810977163</v>
      </c>
      <c r="H309" s="17" t="n">
        <f aca="false">E309*Допущения!$B$27</f>
        <v>0</v>
      </c>
      <c r="I309" s="17" t="n">
        <f aca="false">F309*Допущения!$B$22/30*Допущения!$B$28</f>
        <v>0.000765588887459359</v>
      </c>
      <c r="J309" s="17" t="n">
        <f aca="false">G309*Допущения!$B$17+(H309+I309)*Допущения!$B$18</f>
        <v>0.0034922384986155</v>
      </c>
      <c r="K309" s="19" t="n">
        <f aca="false">K308+J309</f>
        <v>4.88794442635483</v>
      </c>
      <c r="L309" s="19" t="n">
        <f aca="false">L308+G309*Допущения!$B$17</f>
        <v>4.04741161992361</v>
      </c>
      <c r="M309" s="19" t="n">
        <f aca="false">M308+H309*Допущения!$B$18</f>
        <v>0.467499999999986</v>
      </c>
      <c r="N309" s="19" t="n">
        <f aca="false">N308+I309*Допущения!$B$18</f>
        <v>0.373032806431241</v>
      </c>
      <c r="O309" s="19" t="n">
        <f aca="false">O308+G309+H309+I309</f>
        <v>9.77588885270967</v>
      </c>
      <c r="P309" s="17" t="n">
        <f aca="false">P308+F309</f>
        <v>0.154025829970002</v>
      </c>
      <c r="Q309" s="6" t="n">
        <f aca="false">MIN(MATCH(A309,$S$3:$X$3,1),5)</f>
        <v>5</v>
      </c>
    </row>
    <row r="310" customFormat="false" ht="15" hidden="false" customHeight="false" outlineLevel="0" collapsed="false">
      <c r="A310" s="6" t="n">
        <v>303</v>
      </c>
      <c r="B310" s="14" t="n">
        <f aca="false">INDEX($S$4:$X$4,Q310)*(INDEX($S$4:$X$4,Q310+1)/INDEX($S$4:$X$4,Q310))^((LN(A310)-LN(INDEX($S$3:$X$3,Q310)))/(LN(INDEX($S$3:$X$3,Q310+1))-LN(INDEX($S$3:$X$3,Q310))))</f>
        <v>0.00629642749555629</v>
      </c>
      <c r="C310" s="33" t="n">
        <f aca="false">C309+B310</f>
        <v>8.23283514289211</v>
      </c>
      <c r="D310" s="36" t="n">
        <f aca="false">Допущения!$B$19*(1-EXP(-Допущения!$B$26*(A310+1)))</f>
        <v>0.00999999999999986</v>
      </c>
      <c r="E310" s="37" t="n">
        <f aca="false">D310-D309</f>
        <v>0</v>
      </c>
      <c r="F310" s="37" t="n">
        <f aca="false">D310*MIN(1,B310*Допущения!$B$21)</f>
        <v>0.000157410687388905</v>
      </c>
      <c r="G310" s="17" t="n">
        <f aca="false">((B310-F310*Допущения!$B$23)*Допущения!$B$13*Допущения!$B$15+B310*Допущения!$B$14*Допущения!$B$16)/1000</f>
        <v>0.00619348090600394</v>
      </c>
      <c r="H310" s="17" t="n">
        <f aca="false">E310*Допущения!$B$27</f>
        <v>0</v>
      </c>
      <c r="I310" s="17" t="n">
        <f aca="false">F310*Допущения!$B$22/30*Допущения!$B$28</f>
        <v>0.000762461081889841</v>
      </c>
      <c r="J310" s="17" t="n">
        <f aca="false">G310*Допущения!$B$17+(H310+I310)*Допущения!$B$18</f>
        <v>0.00347797099394689</v>
      </c>
      <c r="K310" s="19" t="n">
        <f aca="false">K309+J310</f>
        <v>4.89142239734878</v>
      </c>
      <c r="L310" s="19" t="n">
        <f aca="false">L309+G310*Допущения!$B$17</f>
        <v>4.05050836037661</v>
      </c>
      <c r="M310" s="19" t="n">
        <f aca="false">M309+H310*Допущения!$B$18</f>
        <v>0.467499999999986</v>
      </c>
      <c r="N310" s="19" t="n">
        <f aca="false">N309+I310*Допущения!$B$18</f>
        <v>0.373414036972186</v>
      </c>
      <c r="O310" s="19" t="n">
        <f aca="false">O309+G310+H310+I310</f>
        <v>9.78284479469757</v>
      </c>
      <c r="P310" s="17" t="n">
        <f aca="false">P309+F310</f>
        <v>0.154183240657391</v>
      </c>
      <c r="Q310" s="6" t="n">
        <f aca="false">MIN(MATCH(A310,$S$3:$X$3,1),5)</f>
        <v>5</v>
      </c>
    </row>
    <row r="311" customFormat="false" ht="15" hidden="false" customHeight="false" outlineLevel="0" collapsed="false">
      <c r="A311" s="6" t="n">
        <v>304</v>
      </c>
      <c r="B311" s="14" t="n">
        <f aca="false">INDEX($S$4:$X$4,Q311)*(INDEX($S$4:$X$4,Q311+1)/INDEX($S$4:$X$4,Q311))^((LN(A311)-LN(INDEX($S$3:$X$3,Q311)))/(LN(INDEX($S$3:$X$3,Q311+1))-LN(INDEX($S$3:$X$3,Q311))))</f>
        <v>0.00627078809056284</v>
      </c>
      <c r="C311" s="33" t="n">
        <f aca="false">C310+B311</f>
        <v>8.23910593098267</v>
      </c>
      <c r="D311" s="36" t="n">
        <f aca="false">Допущения!$B$19*(1-EXP(-Допущения!$B$26*(A311+1)))</f>
        <v>0.00999999999999988</v>
      </c>
      <c r="E311" s="37" t="n">
        <f aca="false">D311-D310</f>
        <v>0</v>
      </c>
      <c r="F311" s="37" t="n">
        <f aca="false">D311*MIN(1,B311*Допущения!$B$21)</f>
        <v>0.000156769702264069</v>
      </c>
      <c r="G311" s="17" t="n">
        <f aca="false">((B311-F311*Допущения!$B$23)*Допущения!$B$13*Допущения!$B$15+B311*Допущения!$B$14*Допущения!$B$16)/1000</f>
        <v>0.00616826070528214</v>
      </c>
      <c r="H311" s="17" t="n">
        <f aca="false">E311*Допущения!$B$27</f>
        <v>0</v>
      </c>
      <c r="I311" s="17" t="n">
        <f aca="false">F311*Допущения!$B$22/30*Допущения!$B$28</f>
        <v>0.000759356297711177</v>
      </c>
      <c r="J311" s="17" t="n">
        <f aca="false">G311*Допущения!$B$17+(H311+I311)*Допущения!$B$18</f>
        <v>0.00346380850149666</v>
      </c>
      <c r="K311" s="19" t="n">
        <f aca="false">K310+J311</f>
        <v>4.89488620585027</v>
      </c>
      <c r="L311" s="19" t="n">
        <f aca="false">L310+G311*Допущения!$B$17</f>
        <v>4.05359249072926</v>
      </c>
      <c r="M311" s="19" t="n">
        <f aca="false">M310+H311*Допущения!$B$18</f>
        <v>0.467499999999986</v>
      </c>
      <c r="N311" s="19" t="n">
        <f aca="false">N310+I311*Допущения!$B$18</f>
        <v>0.373793715121042</v>
      </c>
      <c r="O311" s="19" t="n">
        <f aca="false">O310+G311+H311+I311</f>
        <v>9.78977241170056</v>
      </c>
      <c r="P311" s="17" t="n">
        <f aca="false">P310+F311</f>
        <v>0.154340010359655</v>
      </c>
      <c r="Q311" s="6" t="n">
        <f aca="false">MIN(MATCH(A311,$S$3:$X$3,1),5)</f>
        <v>5</v>
      </c>
    </row>
    <row r="312" customFormat="false" ht="15" hidden="false" customHeight="false" outlineLevel="0" collapsed="false">
      <c r="A312" s="6" t="n">
        <v>305</v>
      </c>
      <c r="B312" s="14" t="n">
        <f aca="false">INDEX($S$4:$X$4,Q312)*(INDEX($S$4:$X$4,Q312+1)/INDEX($S$4:$X$4,Q312))^((LN(A312)-LN(INDEX($S$3:$X$3,Q312)))/(LN(INDEX($S$3:$X$3,Q312+1))-LN(INDEX($S$3:$X$3,Q312))))</f>
        <v>0.00624533677918575</v>
      </c>
      <c r="C312" s="33" t="n">
        <f aca="false">C311+B312</f>
        <v>8.24535126776186</v>
      </c>
      <c r="D312" s="36" t="n">
        <f aca="false">Допущения!$B$19*(1-EXP(-Допущения!$B$26*(A312+1)))</f>
        <v>0.00999999999999989</v>
      </c>
      <c r="E312" s="37" t="n">
        <f aca="false">D312-D311</f>
        <v>0</v>
      </c>
      <c r="F312" s="37" t="n">
        <f aca="false">D312*MIN(1,B312*Допущения!$B$21)</f>
        <v>0.000156133419479642</v>
      </c>
      <c r="G312" s="17" t="n">
        <f aca="false">((B312-F312*Допущения!$B$23)*Допущения!$B$13*Допущения!$B$15+B312*Допущения!$B$14*Допущения!$B$16)/1000</f>
        <v>0.00614322552284607</v>
      </c>
      <c r="H312" s="17" t="n">
        <f aca="false">E312*Допущения!$B$27</f>
        <v>0</v>
      </c>
      <c r="I312" s="17" t="n">
        <f aca="false">F312*Допущения!$B$22/30*Допущения!$B$28</f>
        <v>0.000756274290585425</v>
      </c>
      <c r="J312" s="17" t="n">
        <f aca="false">G312*Допущения!$B$17+(H312+I312)*Допущения!$B$18</f>
        <v>0.00344974990671575</v>
      </c>
      <c r="K312" s="19" t="n">
        <f aca="false">K311+J312</f>
        <v>4.89833595575699</v>
      </c>
      <c r="L312" s="19" t="n">
        <f aca="false">L311+G312*Допущения!$B$17</f>
        <v>4.05666410349068</v>
      </c>
      <c r="M312" s="19" t="n">
        <f aca="false">M311+H312*Допущения!$B$18</f>
        <v>0.467499999999986</v>
      </c>
      <c r="N312" s="19" t="n">
        <f aca="false">N311+I312*Допущения!$B$18</f>
        <v>0.374171852266335</v>
      </c>
      <c r="O312" s="19" t="n">
        <f aca="false">O311+G312+H312+I312</f>
        <v>9.79667191151399</v>
      </c>
      <c r="P312" s="17" t="n">
        <f aca="false">P311+F312</f>
        <v>0.154496143779134</v>
      </c>
      <c r="Q312" s="6" t="n">
        <f aca="false">MIN(MATCH(A312,$S$3:$X$3,1),5)</f>
        <v>5</v>
      </c>
    </row>
    <row r="313" customFormat="false" ht="15" hidden="false" customHeight="false" outlineLevel="0" collapsed="false">
      <c r="A313" s="6" t="n">
        <v>306</v>
      </c>
      <c r="B313" s="14" t="n">
        <f aca="false">INDEX($S$4:$X$4,Q313)*(INDEX($S$4:$X$4,Q313+1)/INDEX($S$4:$X$4,Q313))^((LN(A313)-LN(INDEX($S$3:$X$3,Q313)))/(LN(INDEX($S$3:$X$3,Q313+1))-LN(INDEX($S$3:$X$3,Q313))))</f>
        <v>0.00622007157161149</v>
      </c>
      <c r="C313" s="33" t="n">
        <f aca="false">C312+B313</f>
        <v>8.25157133933347</v>
      </c>
      <c r="D313" s="36" t="n">
        <f aca="false">Допущения!$B$19*(1-EXP(-Допущения!$B$26*(A313+1)))</f>
        <v>0.0099999999999999</v>
      </c>
      <c r="E313" s="37" t="n">
        <f aca="false">D313-D312</f>
        <v>0</v>
      </c>
      <c r="F313" s="37" t="n">
        <f aca="false">D313*MIN(1,B313*Допущения!$B$21)</f>
        <v>0.000155501789290286</v>
      </c>
      <c r="G313" s="17" t="n">
        <f aca="false">((B313-F313*Допущения!$B$23)*Допущения!$B$13*Допущения!$B$15+B313*Допущения!$B$14*Допущения!$B$16)/1000</f>
        <v>0.00611837340141564</v>
      </c>
      <c r="H313" s="17" t="n">
        <f aca="false">E313*Допущения!$B$27</f>
        <v>0</v>
      </c>
      <c r="I313" s="17" t="n">
        <f aca="false">F313*Допущения!$B$22/30*Допущения!$B$28</f>
        <v>0.000753214819557634</v>
      </c>
      <c r="J313" s="17" t="n">
        <f aca="false">G313*Допущения!$B$17+(H313+I313)*Допущения!$B$18</f>
        <v>0.00343579411048664</v>
      </c>
      <c r="K313" s="19" t="n">
        <f aca="false">K312+J313</f>
        <v>4.90177174986748</v>
      </c>
      <c r="L313" s="19" t="n">
        <f aca="false">L312+G313*Допущения!$B$17</f>
        <v>4.05972329019139</v>
      </c>
      <c r="M313" s="19" t="n">
        <f aca="false">M312+H313*Допущения!$B$18</f>
        <v>0.467499999999986</v>
      </c>
      <c r="N313" s="19" t="n">
        <f aca="false">N312+I313*Допущения!$B$18</f>
        <v>0.374548459676113</v>
      </c>
      <c r="O313" s="19" t="n">
        <f aca="false">O312+G313+H313+I313</f>
        <v>9.80354349973496</v>
      </c>
      <c r="P313" s="17" t="n">
        <f aca="false">P312+F313</f>
        <v>0.154651645568425</v>
      </c>
      <c r="Q313" s="6" t="n">
        <f aca="false">MIN(MATCH(A313,$S$3:$X$3,1),5)</f>
        <v>5</v>
      </c>
    </row>
    <row r="314" customFormat="false" ht="15" hidden="false" customHeight="false" outlineLevel="0" collapsed="false">
      <c r="A314" s="6" t="n">
        <v>307</v>
      </c>
      <c r="B314" s="14" t="n">
        <f aca="false">INDEX($S$4:$X$4,Q314)*(INDEX($S$4:$X$4,Q314+1)/INDEX($S$4:$X$4,Q314))^((LN(A314)-LN(INDEX($S$3:$X$3,Q314)))/(LN(INDEX($S$3:$X$3,Q314+1))-LN(INDEX($S$3:$X$3,Q314))))</f>
        <v>0.00619499050548684</v>
      </c>
      <c r="C314" s="33" t="n">
        <f aca="false">C313+B314</f>
        <v>8.25776632983896</v>
      </c>
      <c r="D314" s="36" t="n">
        <f aca="false">Допущения!$B$19*(1-EXP(-Допущения!$B$26*(A314+1)))</f>
        <v>0.00999999999999991</v>
      </c>
      <c r="E314" s="37" t="n">
        <f aca="false">D314-D313</f>
        <v>0</v>
      </c>
      <c r="F314" s="37" t="n">
        <f aca="false">D314*MIN(1,B314*Допущения!$B$21)</f>
        <v>0.00015487476263717</v>
      </c>
      <c r="G314" s="17" t="n">
        <f aca="false">((B314-F314*Допущения!$B$23)*Допущения!$B$13*Допущения!$B$15+B314*Допущения!$B$14*Допущения!$B$16)/1000</f>
        <v>0.00609370241072213</v>
      </c>
      <c r="H314" s="17" t="n">
        <f aca="false">E314*Допущения!$B$27</f>
        <v>0</v>
      </c>
      <c r="I314" s="17" t="n">
        <f aca="false">F314*Допущения!$B$22/30*Допущения!$B$28</f>
        <v>0.000750177646998141</v>
      </c>
      <c r="J314" s="17" t="n">
        <f aca="false">G314*Допущения!$B$17+(H314+I314)*Допущения!$B$18</f>
        <v>0.00342194002886014</v>
      </c>
      <c r="K314" s="19" t="n">
        <f aca="false">K313+J314</f>
        <v>4.90519368989634</v>
      </c>
      <c r="L314" s="19" t="n">
        <f aca="false">L313+G314*Допущения!$B$17</f>
        <v>4.06277014139675</v>
      </c>
      <c r="M314" s="19" t="n">
        <f aca="false">M313+H314*Допущения!$B$18</f>
        <v>0.467499999999986</v>
      </c>
      <c r="N314" s="19" t="n">
        <f aca="false">N313+I314*Допущения!$B$18</f>
        <v>0.374923548499612</v>
      </c>
      <c r="O314" s="19" t="n">
        <f aca="false">O313+G314+H314+I314</f>
        <v>9.81038737979268</v>
      </c>
      <c r="P314" s="17" t="n">
        <f aca="false">P313+F314</f>
        <v>0.154806520331062</v>
      </c>
      <c r="Q314" s="6" t="n">
        <f aca="false">MIN(MATCH(A314,$S$3:$X$3,1),5)</f>
        <v>5</v>
      </c>
    </row>
    <row r="315" customFormat="false" ht="15" hidden="false" customHeight="false" outlineLevel="0" collapsed="false">
      <c r="A315" s="6" t="n">
        <v>308</v>
      </c>
      <c r="B315" s="14" t="n">
        <f aca="false">INDEX($S$4:$X$4,Q315)*(INDEX($S$4:$X$4,Q315+1)/INDEX($S$4:$X$4,Q315))^((LN(A315)-LN(INDEX($S$3:$X$3,Q315)))/(LN(INDEX($S$3:$X$3,Q315+1))-LN(INDEX($S$3:$X$3,Q315))))</f>
        <v>0.00617009164545212</v>
      </c>
      <c r="C315" s="33" t="n">
        <f aca="false">C314+B315</f>
        <v>8.26393642148441</v>
      </c>
      <c r="D315" s="36" t="n">
        <f aca="false">Допущения!$B$19*(1-EXP(-Допущения!$B$26*(A315+1)))</f>
        <v>0.00999999999999992</v>
      </c>
      <c r="E315" s="37" t="n">
        <f aca="false">D315-D314</f>
        <v>0</v>
      </c>
      <c r="F315" s="37" t="n">
        <f aca="false">D315*MIN(1,B315*Допущения!$B$21)</f>
        <v>0.000154252291136302</v>
      </c>
      <c r="G315" s="17" t="n">
        <f aca="false">((B315-F315*Допущения!$B$23)*Допущения!$B$13*Допущения!$B$15+B315*Допущения!$B$14*Допущения!$B$16)/1000</f>
        <v>0.00606921064704897</v>
      </c>
      <c r="H315" s="17" t="n">
        <f aca="false">E315*Допущения!$B$27</f>
        <v>0</v>
      </c>
      <c r="I315" s="17" t="n">
        <f aca="false">F315*Допущения!$B$22/30*Допущения!$B$28</f>
        <v>0.000747162538546039</v>
      </c>
      <c r="J315" s="17" t="n">
        <f aca="false">G315*Допущения!$B$17+(H315+I315)*Допущения!$B$18</f>
        <v>0.00340818659279751</v>
      </c>
      <c r="K315" s="19" t="n">
        <f aca="false">K314+J315</f>
        <v>4.90860187648913</v>
      </c>
      <c r="L315" s="19" t="n">
        <f aca="false">L314+G315*Допущения!$B$17</f>
        <v>4.06580474672027</v>
      </c>
      <c r="M315" s="19" t="n">
        <f aca="false">M314+H315*Допущения!$B$18</f>
        <v>0.467499999999986</v>
      </c>
      <c r="N315" s="19" t="n">
        <f aca="false">N314+I315*Допущения!$B$18</f>
        <v>0.375297129768885</v>
      </c>
      <c r="O315" s="19" t="n">
        <f aca="false">O314+G315+H315+I315</f>
        <v>9.81720375297828</v>
      </c>
      <c r="P315" s="17" t="n">
        <f aca="false">P314+F315</f>
        <v>0.154960772622198</v>
      </c>
      <c r="Q315" s="6" t="n">
        <f aca="false">MIN(MATCH(A315,$S$3:$X$3,1),5)</f>
        <v>5</v>
      </c>
    </row>
    <row r="316" customFormat="false" ht="15" hidden="false" customHeight="false" outlineLevel="0" collapsed="false">
      <c r="A316" s="6" t="n">
        <v>309</v>
      </c>
      <c r="B316" s="14" t="n">
        <f aca="false">INDEX($S$4:$X$4,Q316)*(INDEX($S$4:$X$4,Q316+1)/INDEX($S$4:$X$4,Q316))^((LN(A316)-LN(INDEX($S$3:$X$3,Q316)))/(LN(INDEX($S$3:$X$3,Q316+1))-LN(INDEX($S$3:$X$3,Q316))))</f>
        <v>0.00614537308268363</v>
      </c>
      <c r="C316" s="33" t="n">
        <f aca="false">C315+B316</f>
        <v>8.27008179456709</v>
      </c>
      <c r="D316" s="36" t="n">
        <f aca="false">Допущения!$B$19*(1-EXP(-Допущения!$B$26*(A316+1)))</f>
        <v>0.00999999999999993</v>
      </c>
      <c r="E316" s="37" t="n">
        <f aca="false">D316-D315</f>
        <v>0</v>
      </c>
      <c r="F316" s="37" t="n">
        <f aca="false">D316*MIN(1,B316*Допущения!$B$21)</f>
        <v>0.00015363432706709</v>
      </c>
      <c r="G316" s="17" t="n">
        <f aca="false">((B316-F316*Допущения!$B$23)*Допущения!$B$13*Допущения!$B$15+B316*Допущения!$B$14*Допущения!$B$16)/1000</f>
        <v>0.00604489623278176</v>
      </c>
      <c r="H316" s="17" t="n">
        <f aca="false">E316*Допущения!$B$27</f>
        <v>0</v>
      </c>
      <c r="I316" s="17" t="n">
        <f aca="false">F316*Допущения!$B$22/30*Допущения!$B$28</f>
        <v>0.000744169263053783</v>
      </c>
      <c r="J316" s="17" t="n">
        <f aca="false">G316*Допущения!$B$17+(H316+I316)*Допущения!$B$18</f>
        <v>0.00339453274791777</v>
      </c>
      <c r="K316" s="19" t="n">
        <f aca="false">K315+J316</f>
        <v>4.91199640923705</v>
      </c>
      <c r="L316" s="19" t="n">
        <f aca="false">L315+G316*Допущения!$B$17</f>
        <v>4.06882719483666</v>
      </c>
      <c r="M316" s="19" t="n">
        <f aca="false">M315+H316*Допущения!$B$18</f>
        <v>0.467499999999986</v>
      </c>
      <c r="N316" s="19" t="n">
        <f aca="false">N315+I316*Допущения!$B$18</f>
        <v>0.375669214400412</v>
      </c>
      <c r="O316" s="19" t="n">
        <f aca="false">O315+G316+H316+I316</f>
        <v>9.82399281847411</v>
      </c>
      <c r="P316" s="17" t="n">
        <f aca="false">P315+F316</f>
        <v>0.155114406949265</v>
      </c>
      <c r="Q316" s="6" t="n">
        <f aca="false">MIN(MATCH(A316,$S$3:$X$3,1),5)</f>
        <v>5</v>
      </c>
    </row>
    <row r="317" customFormat="false" ht="15" hidden="false" customHeight="false" outlineLevel="0" collapsed="false">
      <c r="A317" s="6" t="n">
        <v>310</v>
      </c>
      <c r="B317" s="14" t="n">
        <f aca="false">INDEX($S$4:$X$4,Q317)*(INDEX($S$4:$X$4,Q317+1)/INDEX($S$4:$X$4,Q317))^((LN(A317)-LN(INDEX($S$3:$X$3,Q317)))/(LN(INDEX($S$3:$X$3,Q317+1))-LN(INDEX($S$3:$X$3,Q317))))</f>
        <v>0.00612083293444557</v>
      </c>
      <c r="C317" s="33" t="n">
        <f aca="false">C316+B317</f>
        <v>8.27620262750154</v>
      </c>
      <c r="D317" s="36" t="n">
        <f aca="false">Допущения!$B$19*(1-EXP(-Допущения!$B$26*(A317+1)))</f>
        <v>0.00999999999999993</v>
      </c>
      <c r="E317" s="37" t="n">
        <f aca="false">D317-D316</f>
        <v>0</v>
      </c>
      <c r="F317" s="37" t="n">
        <f aca="false">D317*MIN(1,B317*Допущения!$B$21)</f>
        <v>0.000153020823361138</v>
      </c>
      <c r="G317" s="17" t="n">
        <f aca="false">((B317-F317*Допущения!$B$23)*Допущения!$B$13*Допущения!$B$15+B317*Допущения!$B$14*Допущения!$B$16)/1000</f>
        <v>0.00602075731596738</v>
      </c>
      <c r="H317" s="17" t="n">
        <f aca="false">E317*Допущения!$B$27</f>
        <v>0</v>
      </c>
      <c r="I317" s="17" t="n">
        <f aca="false">F317*Допущения!$B$22/30*Допущения!$B$28</f>
        <v>0.000741197592532915</v>
      </c>
      <c r="J317" s="17" t="n">
        <f aca="false">G317*Допущения!$B$17+(H317+I317)*Допущения!$B$18</f>
        <v>0.00338097745425015</v>
      </c>
      <c r="K317" s="19" t="n">
        <f aca="false">K316+J317</f>
        <v>4.9153773866913</v>
      </c>
      <c r="L317" s="19" t="n">
        <f aca="false">L316+G317*Допущения!$B$17</f>
        <v>4.07183757349465</v>
      </c>
      <c r="M317" s="19" t="n">
        <f aca="false">M316+H317*Допущения!$B$18</f>
        <v>0.467499999999986</v>
      </c>
      <c r="N317" s="19" t="n">
        <f aca="false">N316+I317*Допущения!$B$18</f>
        <v>0.376039813196679</v>
      </c>
      <c r="O317" s="19" t="n">
        <f aca="false">O316+G317+H317+I317</f>
        <v>9.83075477338261</v>
      </c>
      <c r="P317" s="17" t="n">
        <f aca="false">P316+F317</f>
        <v>0.155267427772626</v>
      </c>
      <c r="Q317" s="6" t="n">
        <f aca="false">MIN(MATCH(A317,$S$3:$X$3,1),5)</f>
        <v>5</v>
      </c>
    </row>
    <row r="318" customFormat="false" ht="15" hidden="false" customHeight="false" outlineLevel="0" collapsed="false">
      <c r="A318" s="6" t="n">
        <v>311</v>
      </c>
      <c r="B318" s="14" t="n">
        <f aca="false">INDEX($S$4:$X$4,Q318)*(INDEX($S$4:$X$4,Q318+1)/INDEX($S$4:$X$4,Q318))^((LN(A318)-LN(INDEX($S$3:$X$3,Q318)))/(LN(INDEX($S$3:$X$3,Q318+1))-LN(INDEX($S$3:$X$3,Q318))))</f>
        <v>0.00609646934365064</v>
      </c>
      <c r="C318" s="33" t="n">
        <f aca="false">C317+B318</f>
        <v>8.28229909684519</v>
      </c>
      <c r="D318" s="36" t="n">
        <f aca="false">Допущения!$B$19*(1-EXP(-Допущения!$B$26*(A318+1)))</f>
        <v>0.00999999999999994</v>
      </c>
      <c r="E318" s="37" t="n">
        <f aca="false">D318-D317</f>
        <v>0</v>
      </c>
      <c r="F318" s="37" t="n">
        <f aca="false">D318*MIN(1,B318*Допущения!$B$21)</f>
        <v>0.000152411733591265</v>
      </c>
      <c r="G318" s="17" t="n">
        <f aca="false">((B318-F318*Допущения!$B$23)*Допущения!$B$13*Допущения!$B$15+B318*Допущения!$B$14*Допущения!$B$16)/1000</f>
        <v>0.00599679206988195</v>
      </c>
      <c r="H318" s="17" t="n">
        <f aca="false">E318*Допущения!$B$27</f>
        <v>0</v>
      </c>
      <c r="I318" s="17" t="n">
        <f aca="false">F318*Допущения!$B$22/30*Допущения!$B$28</f>
        <v>0.000738247302100867</v>
      </c>
      <c r="J318" s="17" t="n">
        <f aca="false">G318*Допущения!$B$17+(H318+I318)*Допущения!$B$18</f>
        <v>0.00336751968599141</v>
      </c>
      <c r="K318" s="19" t="n">
        <f aca="false">K317+J318</f>
        <v>4.91874490637729</v>
      </c>
      <c r="L318" s="19" t="n">
        <f aca="false">L317+G318*Допущения!$B$17</f>
        <v>4.07483596952959</v>
      </c>
      <c r="M318" s="19" t="n">
        <f aca="false">M317+H318*Допущения!$B$18</f>
        <v>0.467499999999986</v>
      </c>
      <c r="N318" s="19" t="n">
        <f aca="false">N317+I318*Допущения!$B$18</f>
        <v>0.376408936847729</v>
      </c>
      <c r="O318" s="19" t="n">
        <f aca="false">O317+G318+H318+I318</f>
        <v>9.8374898127546</v>
      </c>
      <c r="P318" s="17" t="n">
        <f aca="false">P317+F318</f>
        <v>0.155419839506217</v>
      </c>
      <c r="Q318" s="6" t="n">
        <f aca="false">MIN(MATCH(A318,$S$3:$X$3,1),5)</f>
        <v>5</v>
      </c>
    </row>
    <row r="319" customFormat="false" ht="15" hidden="false" customHeight="false" outlineLevel="0" collapsed="false">
      <c r="A319" s="6" t="n">
        <v>312</v>
      </c>
      <c r="B319" s="14" t="n">
        <f aca="false">INDEX($S$4:$X$4,Q319)*(INDEX($S$4:$X$4,Q319+1)/INDEX($S$4:$X$4,Q319))^((LN(A319)-LN(INDEX($S$3:$X$3,Q319)))/(LN(INDEX($S$3:$X$3,Q319+1))-LN(INDEX($S$3:$X$3,Q319))))</f>
        <v>0.00607228047842966</v>
      </c>
      <c r="C319" s="33" t="n">
        <f aca="false">C318+B319</f>
        <v>8.28837137732362</v>
      </c>
      <c r="D319" s="36" t="n">
        <f aca="false">Допущения!$B$19*(1-EXP(-Допущения!$B$26*(A319+1)))</f>
        <v>0.00999999999999995</v>
      </c>
      <c r="E319" s="37" t="n">
        <f aca="false">D319-D318</f>
        <v>0</v>
      </c>
      <c r="F319" s="37" t="n">
        <f aca="false">D319*MIN(1,B319*Допущения!$B$21)</f>
        <v>0.000151807011960741</v>
      </c>
      <c r="G319" s="17" t="n">
        <f aca="false">((B319-F319*Допущения!$B$23)*Допущения!$B$13*Допущения!$B$15+B319*Допущения!$B$14*Допущения!$B$16)/1000</f>
        <v>0.00597299869260733</v>
      </c>
      <c r="H319" s="17" t="n">
        <f aca="false">E319*Допущения!$B$27</f>
        <v>0</v>
      </c>
      <c r="I319" s="17" t="n">
        <f aca="false">F319*Допущения!$B$22/30*Допущения!$B$28</f>
        <v>0.00073531816992884</v>
      </c>
      <c r="J319" s="17" t="n">
        <f aca="false">G319*Допущения!$B$17+(H319+I319)*Допущения!$B$18</f>
        <v>0.00335415843126809</v>
      </c>
      <c r="K319" s="19" t="n">
        <f aca="false">K318+J319</f>
        <v>4.92209906480856</v>
      </c>
      <c r="L319" s="19" t="n">
        <f aca="false">L318+G319*Допущения!$B$17</f>
        <v>4.07782246887589</v>
      </c>
      <c r="M319" s="19" t="n">
        <f aca="false">M318+H319*Допущения!$B$18</f>
        <v>0.467499999999986</v>
      </c>
      <c r="N319" s="19" t="n">
        <f aca="false">N318+I319*Допущения!$B$18</f>
        <v>0.376776595932694</v>
      </c>
      <c r="O319" s="19" t="n">
        <f aca="false">O318+G319+H319+I319</f>
        <v>9.84419812961713</v>
      </c>
      <c r="P319" s="17" t="n">
        <f aca="false">P318+F319</f>
        <v>0.155571646518178</v>
      </c>
      <c r="Q319" s="6" t="n">
        <f aca="false">MIN(MATCH(A319,$S$3:$X$3,1),5)</f>
        <v>5</v>
      </c>
    </row>
    <row r="320" customFormat="false" ht="15" hidden="false" customHeight="false" outlineLevel="0" collapsed="false">
      <c r="A320" s="6" t="n">
        <v>313</v>
      </c>
      <c r="B320" s="14" t="n">
        <f aca="false">INDEX($S$4:$X$4,Q320)*(INDEX($S$4:$X$4,Q320+1)/INDEX($S$4:$X$4,Q320))^((LN(A320)-LN(INDEX($S$3:$X$3,Q320)))/(LN(INDEX($S$3:$X$3,Q320+1))-LN(INDEX($S$3:$X$3,Q320))))</f>
        <v>0.00604826453170967</v>
      </c>
      <c r="C320" s="33" t="n">
        <f aca="false">C319+B320</f>
        <v>8.29441964185533</v>
      </c>
      <c r="D320" s="36" t="n">
        <f aca="false">Допущения!$B$19*(1-EXP(-Допущения!$B$26*(A320+1)))</f>
        <v>0.00999999999999995</v>
      </c>
      <c r="E320" s="37" t="n">
        <f aca="false">D320-D319</f>
        <v>0</v>
      </c>
      <c r="F320" s="37" t="n">
        <f aca="false">D320*MIN(1,B320*Допущения!$B$21)</f>
        <v>0.000151206613292741</v>
      </c>
      <c r="G320" s="17" t="n">
        <f aca="false">((B320-F320*Допущения!$B$23)*Допущения!$B$13*Допущения!$B$15+B320*Допущения!$B$14*Допущения!$B$16)/1000</f>
        <v>0.00594937540661622</v>
      </c>
      <c r="H320" s="17" t="n">
        <f aca="false">E320*Допущения!$B$27</f>
        <v>0</v>
      </c>
      <c r="I320" s="17" t="n">
        <f aca="false">F320*Допущения!$B$22/30*Допущения!$B$28</f>
        <v>0.000732409977190712</v>
      </c>
      <c r="J320" s="17" t="n">
        <f aca="false">G320*Допущения!$B$17+(H320+I320)*Допущения!$B$18</f>
        <v>0.00334089269190347</v>
      </c>
      <c r="K320" s="19" t="n">
        <f aca="false">K319+J320</f>
        <v>4.92543995750046</v>
      </c>
      <c r="L320" s="19" t="n">
        <f aca="false">L319+G320*Допущения!$B$17</f>
        <v>4.0807971565792</v>
      </c>
      <c r="M320" s="19" t="n">
        <f aca="false">M319+H320*Допущения!$B$18</f>
        <v>0.467499999999986</v>
      </c>
      <c r="N320" s="19" t="n">
        <f aca="false">N319+I320*Допущения!$B$18</f>
        <v>0.377142800921289</v>
      </c>
      <c r="O320" s="19" t="n">
        <f aca="false">O319+G320+H320+I320</f>
        <v>9.85087991500094</v>
      </c>
      <c r="P320" s="17" t="n">
        <f aca="false">P319+F320</f>
        <v>0.155722853131471</v>
      </c>
      <c r="Q320" s="6" t="n">
        <f aca="false">MIN(MATCH(A320,$S$3:$X$3,1),5)</f>
        <v>5</v>
      </c>
    </row>
    <row r="321" customFormat="false" ht="15" hidden="false" customHeight="false" outlineLevel="0" collapsed="false">
      <c r="A321" s="6" t="n">
        <v>314</v>
      </c>
      <c r="B321" s="14" t="n">
        <f aca="false">INDEX($S$4:$X$4,Q321)*(INDEX($S$4:$X$4,Q321+1)/INDEX($S$4:$X$4,Q321))^((LN(A321)-LN(INDEX($S$3:$X$3,Q321)))/(LN(INDEX($S$3:$X$3,Q321+1))-LN(INDEX($S$3:$X$3,Q321))))</f>
        <v>0.00602441972080041</v>
      </c>
      <c r="C321" s="33" t="n">
        <f aca="false">C320+B321</f>
        <v>8.30044406157613</v>
      </c>
      <c r="D321" s="36" t="n">
        <f aca="false">Допущения!$B$19*(1-EXP(-Допущения!$B$26*(A321+1)))</f>
        <v>0.00999999999999996</v>
      </c>
      <c r="E321" s="37" t="n">
        <f aca="false">D321-D320</f>
        <v>0</v>
      </c>
      <c r="F321" s="37" t="n">
        <f aca="false">D321*MIN(1,B321*Допущения!$B$21)</f>
        <v>0.00015061049302001</v>
      </c>
      <c r="G321" s="17" t="n">
        <f aca="false">((B321-F321*Допущения!$B$23)*Допущения!$B$13*Допущения!$B$15+B321*Допущения!$B$14*Допущения!$B$16)/1000</f>
        <v>0.00592592045836532</v>
      </c>
      <c r="H321" s="17" t="n">
        <f aca="false">E321*Допущения!$B$27</f>
        <v>0</v>
      </c>
      <c r="I321" s="17" t="n">
        <f aca="false">F321*Допущения!$B$22/30*Допущения!$B$28</f>
        <v>0.000729522508012965</v>
      </c>
      <c r="J321" s="17" t="n">
        <f aca="false">G321*Допущения!$B$17+(H321+I321)*Допущения!$B$18</f>
        <v>0.00332772148318914</v>
      </c>
      <c r="K321" s="19" t="n">
        <f aca="false">K320+J321</f>
        <v>4.92876767898365</v>
      </c>
      <c r="L321" s="19" t="n">
        <f aca="false">L320+G321*Допущения!$B$17</f>
        <v>4.08376011680838</v>
      </c>
      <c r="M321" s="19" t="n">
        <f aca="false">M320+H321*Допущения!$B$18</f>
        <v>0.467499999999986</v>
      </c>
      <c r="N321" s="19" t="n">
        <f aca="false">N320+I321*Допущения!$B$18</f>
        <v>0.377507562175295</v>
      </c>
      <c r="O321" s="19" t="n">
        <f aca="false">O320+G321+H321+I321</f>
        <v>9.85753535796732</v>
      </c>
      <c r="P321" s="17" t="n">
        <f aca="false">P320+F321</f>
        <v>0.155873463624491</v>
      </c>
      <c r="Q321" s="6" t="n">
        <f aca="false">MIN(MATCH(A321,$S$3:$X$3,1),5)</f>
        <v>5</v>
      </c>
    </row>
    <row r="322" customFormat="false" ht="15" hidden="false" customHeight="false" outlineLevel="0" collapsed="false">
      <c r="A322" s="6" t="n">
        <v>315</v>
      </c>
      <c r="B322" s="14" t="n">
        <f aca="false">INDEX($S$4:$X$4,Q322)*(INDEX($S$4:$X$4,Q322+1)/INDEX($S$4:$X$4,Q322))^((LN(A322)-LN(INDEX($S$3:$X$3,Q322)))/(LN(INDEX($S$3:$X$3,Q322+1))-LN(INDEX($S$3:$X$3,Q322))))</f>
        <v>0.00600074428698897</v>
      </c>
      <c r="C322" s="33" t="n">
        <f aca="false">C321+B322</f>
        <v>8.30644480586312</v>
      </c>
      <c r="D322" s="36" t="n">
        <f aca="false">Допущения!$B$19*(1-EXP(-Допущения!$B$26*(A322+1)))</f>
        <v>0.00999999999999996</v>
      </c>
      <c r="E322" s="37" t="n">
        <f aca="false">D322-D321</f>
        <v>0</v>
      </c>
      <c r="F322" s="37" t="n">
        <f aca="false">D322*MIN(1,B322*Допущения!$B$21)</f>
        <v>0.000150018607174724</v>
      </c>
      <c r="G322" s="17" t="n">
        <f aca="false">((B322-F322*Допущения!$B$23)*Допущения!$B$13*Допущения!$B$15+B322*Допущения!$B$14*Допущения!$B$16)/1000</f>
        <v>0.0059026321178967</v>
      </c>
      <c r="H322" s="17" t="n">
        <f aca="false">E322*Допущения!$B$27</f>
        <v>0</v>
      </c>
      <c r="I322" s="17" t="n">
        <f aca="false">F322*Допущения!$B$22/30*Допущения!$B$28</f>
        <v>0.000726655549425605</v>
      </c>
      <c r="J322" s="17" t="n">
        <f aca="false">G322*Допущения!$B$17+(H322+I322)*Допущения!$B$18</f>
        <v>0.00331464383366115</v>
      </c>
      <c r="K322" s="19" t="n">
        <f aca="false">K321+J322</f>
        <v>4.93208232281731</v>
      </c>
      <c r="L322" s="19" t="n">
        <f aca="false">L321+G322*Допущения!$B$17</f>
        <v>4.08671143286733</v>
      </c>
      <c r="M322" s="19" t="n">
        <f aca="false">M321+H322*Допущения!$B$18</f>
        <v>0.467499999999986</v>
      </c>
      <c r="N322" s="19" t="n">
        <f aca="false">N321+I322*Допущения!$B$18</f>
        <v>0.377870889950008</v>
      </c>
      <c r="O322" s="19" t="n">
        <f aca="false">O321+G322+H322+I322</f>
        <v>9.86416464563464</v>
      </c>
      <c r="P322" s="17" t="n">
        <f aca="false">P321+F322</f>
        <v>0.156023482231666</v>
      </c>
      <c r="Q322" s="6" t="n">
        <f aca="false">MIN(MATCH(A322,$S$3:$X$3,1),5)</f>
        <v>5</v>
      </c>
    </row>
    <row r="323" customFormat="false" ht="15" hidden="false" customHeight="false" outlineLevel="0" collapsed="false">
      <c r="A323" s="6" t="n">
        <v>316</v>
      </c>
      <c r="B323" s="14" t="n">
        <f aca="false">INDEX($S$4:$X$4,Q323)*(INDEX($S$4:$X$4,Q323+1)/INDEX($S$4:$X$4,Q323))^((LN(A323)-LN(INDEX($S$3:$X$3,Q323)))/(LN(INDEX($S$3:$X$3,Q323+1))-LN(INDEX($S$3:$X$3,Q323))))</f>
        <v>0.00597723649514252</v>
      </c>
      <c r="C323" s="33" t="n">
        <f aca="false">C322+B323</f>
        <v>8.31242204235826</v>
      </c>
      <c r="D323" s="36" t="n">
        <f aca="false">Допущения!$B$19*(1-EXP(-Допущения!$B$26*(A323+1)))</f>
        <v>0.00999999999999997</v>
      </c>
      <c r="E323" s="37" t="n">
        <f aca="false">D323-D322</f>
        <v>0</v>
      </c>
      <c r="F323" s="37" t="n">
        <f aca="false">D323*MIN(1,B323*Допущения!$B$21)</f>
        <v>0.000149430912378562</v>
      </c>
      <c r="G323" s="17" t="n">
        <f aca="false">((B323-F323*Допущения!$B$23)*Допущения!$B$13*Допущения!$B$15+B323*Допущения!$B$14*Допущения!$B$16)/1000</f>
        <v>0.00587950867844694</v>
      </c>
      <c r="H323" s="17" t="n">
        <f aca="false">E323*Допущения!$B$27</f>
        <v>0</v>
      </c>
      <c r="I323" s="17" t="n">
        <f aca="false">F323*Допущения!$B$22/30*Допущения!$B$28</f>
        <v>0.000723808891314043</v>
      </c>
      <c r="J323" s="17" t="n">
        <f aca="false">G323*Допущения!$B$17+(H323+I323)*Допущения!$B$18</f>
        <v>0.00330165878488049</v>
      </c>
      <c r="K323" s="19" t="n">
        <f aca="false">K322+J323</f>
        <v>4.9353839816022</v>
      </c>
      <c r="L323" s="19" t="n">
        <f aca="false">L322+G323*Допущения!$B$17</f>
        <v>4.08965118720655</v>
      </c>
      <c r="M323" s="19" t="n">
        <f aca="false">M322+H323*Допущения!$B$18</f>
        <v>0.467499999999986</v>
      </c>
      <c r="N323" s="19" t="n">
        <f aca="false">N322+I323*Допущения!$B$18</f>
        <v>0.378232794395665</v>
      </c>
      <c r="O323" s="19" t="n">
        <f aca="false">O322+G323+H323+I323</f>
        <v>9.8707679632044</v>
      </c>
      <c r="P323" s="17" t="n">
        <f aca="false">P322+F323</f>
        <v>0.156172913144044</v>
      </c>
      <c r="Q323" s="6" t="n">
        <f aca="false">MIN(MATCH(A323,$S$3:$X$3,1),5)</f>
        <v>5</v>
      </c>
    </row>
    <row r="324" customFormat="false" ht="15" hidden="false" customHeight="false" outlineLevel="0" collapsed="false">
      <c r="A324" s="6" t="n">
        <v>317</v>
      </c>
      <c r="B324" s="14" t="n">
        <f aca="false">INDEX($S$4:$X$4,Q324)*(INDEX($S$4:$X$4,Q324+1)/INDEX($S$4:$X$4,Q324))^((LN(A324)-LN(INDEX($S$3:$X$3,Q324)))/(LN(INDEX($S$3:$X$3,Q324+1))-LN(INDEX($S$3:$X$3,Q324))))</f>
        <v>0.00595389463331874</v>
      </c>
      <c r="C324" s="33" t="n">
        <f aca="false">C323+B324</f>
        <v>8.31837593699158</v>
      </c>
      <c r="D324" s="36" t="n">
        <f aca="false">Допущения!$B$19*(1-EXP(-Допущения!$B$26*(A324+1)))</f>
        <v>0.00999999999999997</v>
      </c>
      <c r="E324" s="37" t="n">
        <f aca="false">D324-D323</f>
        <v>0</v>
      </c>
      <c r="F324" s="37" t="n">
        <f aca="false">D324*MIN(1,B324*Допущения!$B$21)</f>
        <v>0.000148847365832968</v>
      </c>
      <c r="G324" s="17" t="n">
        <f aca="false">((B324-F324*Допущения!$B$23)*Допущения!$B$13*Допущения!$B$15+B324*Допущения!$B$14*Допущения!$B$16)/1000</f>
        <v>0.00585654845606397</v>
      </c>
      <c r="H324" s="17" t="n">
        <f aca="false">E324*Допущения!$B$27</f>
        <v>0</v>
      </c>
      <c r="I324" s="17" t="n">
        <f aca="false">F324*Допущения!$B$22/30*Допущения!$B$28</f>
        <v>0.000720982326371932</v>
      </c>
      <c r="J324" s="17" t="n">
        <f aca="false">G324*Допущения!$B$17+(H324+I324)*Допущения!$B$18</f>
        <v>0.00328876539121795</v>
      </c>
      <c r="K324" s="19" t="n">
        <f aca="false">K323+J324</f>
        <v>4.93867274699341</v>
      </c>
      <c r="L324" s="19" t="n">
        <f aca="false">L323+G324*Допущения!$B$17</f>
        <v>4.09257946143458</v>
      </c>
      <c r="M324" s="19" t="n">
        <f aca="false">M323+H324*Допущения!$B$18</f>
        <v>0.467499999999986</v>
      </c>
      <c r="N324" s="19" t="n">
        <f aca="false">N323+I324*Допущения!$B$18</f>
        <v>0.378593285558851</v>
      </c>
      <c r="O324" s="19" t="n">
        <f aca="false">O323+G324+H324+I324</f>
        <v>9.87734549398684</v>
      </c>
      <c r="P324" s="17" t="n">
        <f aca="false">P323+F324</f>
        <v>0.156321760509877</v>
      </c>
      <c r="Q324" s="6" t="n">
        <f aca="false">MIN(MATCH(A324,$S$3:$X$3,1),5)</f>
        <v>5</v>
      </c>
    </row>
    <row r="325" customFormat="false" ht="15" hidden="false" customHeight="false" outlineLevel="0" collapsed="false">
      <c r="A325" s="6" t="n">
        <v>318</v>
      </c>
      <c r="B325" s="14" t="n">
        <f aca="false">INDEX($S$4:$X$4,Q325)*(INDEX($S$4:$X$4,Q325+1)/INDEX($S$4:$X$4,Q325))^((LN(A325)-LN(INDEX($S$3:$X$3,Q325)))/(LN(INDEX($S$3:$X$3,Q325+1))-LN(INDEX($S$3:$X$3,Q325))))</f>
        <v>0.00593071701238396</v>
      </c>
      <c r="C325" s="33" t="n">
        <f aca="false">C324+B325</f>
        <v>8.32430665400397</v>
      </c>
      <c r="D325" s="36" t="n">
        <f aca="false">Допущения!$B$19*(1-EXP(-Допущения!$B$26*(A325+1)))</f>
        <v>0.00999999999999997</v>
      </c>
      <c r="E325" s="37" t="n">
        <f aca="false">D325-D324</f>
        <v>0</v>
      </c>
      <c r="F325" s="37" t="n">
        <f aca="false">D325*MIN(1,B325*Допущения!$B$21)</f>
        <v>0.000148267925309599</v>
      </c>
      <c r="G325" s="17" t="n">
        <f aca="false">((B325-F325*Допущения!$B$23)*Допущения!$B$13*Допущения!$B$15+B325*Допущения!$B$14*Допущения!$B$16)/1000</f>
        <v>0.00583374978923149</v>
      </c>
      <c r="H325" s="17" t="n">
        <f aca="false">E325*Допущения!$B$27</f>
        <v>0</v>
      </c>
      <c r="I325" s="17" t="n">
        <f aca="false">F325*Допущения!$B$22/30*Допущения!$B$28</f>
        <v>0.00071817565005492</v>
      </c>
      <c r="J325" s="17" t="n">
        <f aca="false">G325*Допущения!$B$17+(H325+I325)*Допущения!$B$18</f>
        <v>0.0032759627196432</v>
      </c>
      <c r="K325" s="19" t="n">
        <f aca="false">K324+J325</f>
        <v>4.94194870971306</v>
      </c>
      <c r="L325" s="19" t="n">
        <f aca="false">L324+G325*Допущения!$B$17</f>
        <v>4.0954963363292</v>
      </c>
      <c r="M325" s="19" t="n">
        <f aca="false">M324+H325*Допущения!$B$18</f>
        <v>0.467499999999986</v>
      </c>
      <c r="N325" s="19" t="n">
        <f aca="false">N324+I325*Допущения!$B$18</f>
        <v>0.378952373383879</v>
      </c>
      <c r="O325" s="19" t="n">
        <f aca="false">O324+G325+H325+I325</f>
        <v>9.88389741942612</v>
      </c>
      <c r="P325" s="17" t="n">
        <f aca="false">P324+F325</f>
        <v>0.156470028435187</v>
      </c>
      <c r="Q325" s="6" t="n">
        <f aca="false">MIN(MATCH(A325,$S$3:$X$3,1),5)</f>
        <v>5</v>
      </c>
    </row>
    <row r="326" customFormat="false" ht="15" hidden="false" customHeight="false" outlineLevel="0" collapsed="false">
      <c r="A326" s="6" t="n">
        <v>319</v>
      </c>
      <c r="B326" s="14" t="n">
        <f aca="false">INDEX($S$4:$X$4,Q326)*(INDEX($S$4:$X$4,Q326+1)/INDEX($S$4:$X$4,Q326))^((LN(A326)-LN(INDEX($S$3:$X$3,Q326)))/(LN(INDEX($S$3:$X$3,Q326+1))-LN(INDEX($S$3:$X$3,Q326))))</f>
        <v>0.00590770196563881</v>
      </c>
      <c r="C326" s="33" t="n">
        <f aca="false">C325+B326</f>
        <v>8.3302143559696</v>
      </c>
      <c r="D326" s="36" t="n">
        <f aca="false">Допущения!$B$19*(1-EXP(-Допущения!$B$26*(A326+1)))</f>
        <v>0.00999999999999997</v>
      </c>
      <c r="E326" s="37" t="n">
        <f aca="false">D326-D325</f>
        <v>0</v>
      </c>
      <c r="F326" s="37" t="n">
        <f aca="false">D326*MIN(1,B326*Допущения!$B$21)</f>
        <v>0.00014769254914097</v>
      </c>
      <c r="G326" s="17" t="n">
        <f aca="false">((B326-F326*Допущения!$B$23)*Допущения!$B$13*Допущения!$B$15+B326*Допущения!$B$14*Допущения!$B$16)/1000</f>
        <v>0.00581111103850062</v>
      </c>
      <c r="H326" s="17" t="n">
        <f aca="false">E326*Допущения!$B$27</f>
        <v>0</v>
      </c>
      <c r="I326" s="17" t="n">
        <f aca="false">F326*Допущения!$B$22/30*Допущения!$B$28</f>
        <v>0.000715388660535318</v>
      </c>
      <c r="J326" s="17" t="n">
        <f aca="false">G326*Допущения!$B$17+(H326+I326)*Допущения!$B$18</f>
        <v>0.00326324984951797</v>
      </c>
      <c r="K326" s="19" t="n">
        <f aca="false">K325+J326</f>
        <v>4.94521195956257</v>
      </c>
      <c r="L326" s="19" t="n">
        <f aca="false">L325+G326*Допущения!$B$17</f>
        <v>4.09840189184845</v>
      </c>
      <c r="M326" s="19" t="n">
        <f aca="false">M325+H326*Допущения!$B$18</f>
        <v>0.467499999999986</v>
      </c>
      <c r="N326" s="19" t="n">
        <f aca="false">N325+I326*Допущения!$B$18</f>
        <v>0.379310067714146</v>
      </c>
      <c r="O326" s="19" t="n">
        <f aca="false">O325+G326+H326+I326</f>
        <v>9.89042391912516</v>
      </c>
      <c r="P326" s="17" t="n">
        <f aca="false">P325+F326</f>
        <v>0.156617720984328</v>
      </c>
      <c r="Q326" s="6" t="n">
        <f aca="false">MIN(MATCH(A326,$S$3:$X$3,1),5)</f>
        <v>5</v>
      </c>
    </row>
    <row r="327" customFormat="false" ht="15" hidden="false" customHeight="false" outlineLevel="0" collapsed="false">
      <c r="A327" s="6" t="n">
        <v>320</v>
      </c>
      <c r="B327" s="14" t="n">
        <f aca="false">INDEX($S$4:$X$4,Q327)*(INDEX($S$4:$X$4,Q327+1)/INDEX($S$4:$X$4,Q327))^((LN(A327)-LN(INDEX($S$3:$X$3,Q327)))/(LN(INDEX($S$3:$X$3,Q327+1))-LN(INDEX($S$3:$X$3,Q327))))</f>
        <v>0.00588484784845103</v>
      </c>
      <c r="C327" s="33" t="n">
        <f aca="false">C326+B327</f>
        <v>8.33609920381806</v>
      </c>
      <c r="D327" s="36" t="n">
        <f aca="false">Допущения!$B$19*(1-EXP(-Допущения!$B$26*(A327+1)))</f>
        <v>0.00999999999999998</v>
      </c>
      <c r="E327" s="37" t="n">
        <f aca="false">D327-D326</f>
        <v>0</v>
      </c>
      <c r="F327" s="37" t="n">
        <f aca="false">D327*MIN(1,B327*Допущения!$B$21)</f>
        <v>0.000147121196211275</v>
      </c>
      <c r="G327" s="17" t="n">
        <f aca="false">((B327-F327*Допущения!$B$23)*Допущения!$B$13*Допущения!$B$15+B327*Допущения!$B$14*Допущения!$B$16)/1000</f>
        <v>0.00578863058612886</v>
      </c>
      <c r="H327" s="17" t="n">
        <f aca="false">E327*Допущения!$B$27</f>
        <v>0</v>
      </c>
      <c r="I327" s="17" t="n">
        <f aca="false">F327*Допущения!$B$22/30*Допущения!$B$28</f>
        <v>0.000712621158657637</v>
      </c>
      <c r="J327" s="17" t="n">
        <f aca="false">G327*Допущения!$B$17+(H327+I327)*Допущения!$B$18</f>
        <v>0.00325062587239325</v>
      </c>
      <c r="K327" s="19" t="n">
        <f aca="false">K326+J327</f>
        <v>4.94846258543497</v>
      </c>
      <c r="L327" s="19" t="n">
        <f aca="false">L326+G327*Допущения!$B$17</f>
        <v>4.10129620714151</v>
      </c>
      <c r="M327" s="19" t="n">
        <f aca="false">M326+H327*Допущения!$B$18</f>
        <v>0.467499999999986</v>
      </c>
      <c r="N327" s="19" t="n">
        <f aca="false">N326+I327*Допущения!$B$18</f>
        <v>0.379666378293475</v>
      </c>
      <c r="O327" s="19" t="n">
        <f aca="false">O326+G327+H327+I327</f>
        <v>9.89692517086994</v>
      </c>
      <c r="P327" s="17" t="n">
        <f aca="false">P326+F327</f>
        <v>0.156764842180539</v>
      </c>
      <c r="Q327" s="6" t="n">
        <f aca="false">MIN(MATCH(A327,$S$3:$X$3,1),5)</f>
        <v>5</v>
      </c>
    </row>
    <row r="328" customFormat="false" ht="15" hidden="false" customHeight="false" outlineLevel="0" collapsed="false">
      <c r="A328" s="6" t="n">
        <v>321</v>
      </c>
      <c r="B328" s="14" t="n">
        <f aca="false">INDEX($S$4:$X$4,Q328)*(INDEX($S$4:$X$4,Q328+1)/INDEX($S$4:$X$4,Q328))^((LN(A328)-LN(INDEX($S$3:$X$3,Q328)))/(LN(INDEX($S$3:$X$3,Q328+1))-LN(INDEX($S$3:$X$3,Q328))))</f>
        <v>0.00586215303789552</v>
      </c>
      <c r="C328" s="33" t="n">
        <f aca="false">C327+B328</f>
        <v>8.34196135685595</v>
      </c>
      <c r="D328" s="36" t="n">
        <f aca="false">Допущения!$B$19*(1-EXP(-Допущения!$B$26*(A328+1)))</f>
        <v>0.00999999999999998</v>
      </c>
      <c r="E328" s="37" t="n">
        <f aca="false">D328-D327</f>
        <v>0</v>
      </c>
      <c r="F328" s="37" t="n">
        <f aca="false">D328*MIN(1,B328*Допущения!$B$21)</f>
        <v>0.000146553825947388</v>
      </c>
      <c r="G328" s="17" t="n">
        <f aca="false">((B328-F328*Допущения!$B$23)*Допущения!$B$13*Допущения!$B$15+B328*Допущения!$B$14*Допущения!$B$16)/1000</f>
        <v>0.00576630683572593</v>
      </c>
      <c r="H328" s="17" t="n">
        <f aca="false">E328*Допущения!$B$27</f>
        <v>0</v>
      </c>
      <c r="I328" s="17" t="n">
        <f aca="false">F328*Допущения!$B$22/30*Допущения!$B$28</f>
        <v>0.000709872947895003</v>
      </c>
      <c r="J328" s="17" t="n">
        <f aca="false">G328*Допущения!$B$17+(H328+I328)*Допущения!$B$18</f>
        <v>0.00323808989181047</v>
      </c>
      <c r="K328" s="19" t="n">
        <f aca="false">K327+J328</f>
        <v>4.95170067532678</v>
      </c>
      <c r="L328" s="19" t="n">
        <f aca="false">L327+G328*Допущения!$B$17</f>
        <v>4.10417936055938</v>
      </c>
      <c r="M328" s="19" t="n">
        <f aca="false">M327+H328*Допущения!$B$18</f>
        <v>0.467499999999986</v>
      </c>
      <c r="N328" s="19" t="n">
        <f aca="false">N327+I328*Допущения!$B$18</f>
        <v>0.380021314767423</v>
      </c>
      <c r="O328" s="19" t="n">
        <f aca="false">O327+G328+H328+I328</f>
        <v>9.90340135065357</v>
      </c>
      <c r="P328" s="17" t="n">
        <f aca="false">P327+F328</f>
        <v>0.156911396006486</v>
      </c>
      <c r="Q328" s="6" t="n">
        <f aca="false">MIN(MATCH(A328,$S$3:$X$3,1),5)</f>
        <v>5</v>
      </c>
    </row>
    <row r="329" customFormat="false" ht="15" hidden="false" customHeight="false" outlineLevel="0" collapsed="false">
      <c r="A329" s="6" t="n">
        <v>322</v>
      </c>
      <c r="B329" s="14" t="n">
        <f aca="false">INDEX($S$4:$X$4,Q329)*(INDEX($S$4:$X$4,Q329+1)/INDEX($S$4:$X$4,Q329))^((LN(A329)-LN(INDEX($S$3:$X$3,Q329)))/(LN(INDEX($S$3:$X$3,Q329+1))-LN(INDEX($S$3:$X$3,Q329))))</f>
        <v>0.00583961593240137</v>
      </c>
      <c r="C329" s="33" t="n">
        <f aca="false">C328+B329</f>
        <v>8.34780097278835</v>
      </c>
      <c r="D329" s="36" t="n">
        <f aca="false">Допущения!$B$19*(1-EXP(-Допущения!$B$26*(A329+1)))</f>
        <v>0.00999999999999998</v>
      </c>
      <c r="E329" s="37" t="n">
        <f aca="false">D329-D328</f>
        <v>0</v>
      </c>
      <c r="F329" s="37" t="n">
        <f aca="false">D329*MIN(1,B329*Допущения!$B$21)</f>
        <v>0.000145990398310034</v>
      </c>
      <c r="G329" s="17" t="n">
        <f aca="false">((B329-F329*Допущения!$B$23)*Допущения!$B$13*Допущения!$B$15+B329*Допущения!$B$14*Допущения!$B$16)/1000</f>
        <v>0.00574413821190661</v>
      </c>
      <c r="H329" s="17" t="n">
        <f aca="false">E329*Допущения!$B$27</f>
        <v>0</v>
      </c>
      <c r="I329" s="17" t="n">
        <f aca="false">F329*Допущения!$B$22/30*Допущения!$B$28</f>
        <v>0.000707143834306406</v>
      </c>
      <c r="J329" s="17" t="n">
        <f aca="false">G329*Допущения!$B$17+(H329+I329)*Допущения!$B$18</f>
        <v>0.00322564102310651</v>
      </c>
      <c r="K329" s="19" t="n">
        <f aca="false">K328+J329</f>
        <v>4.95492631634988</v>
      </c>
      <c r="L329" s="19" t="n">
        <f aca="false">L328+G329*Допущения!$B$17</f>
        <v>4.10705142966533</v>
      </c>
      <c r="M329" s="19" t="n">
        <f aca="false">M328+H329*Допущения!$B$18</f>
        <v>0.467499999999986</v>
      </c>
      <c r="N329" s="19" t="n">
        <f aca="false">N328+I329*Допущения!$B$18</f>
        <v>0.380374886684576</v>
      </c>
      <c r="O329" s="19" t="n">
        <f aca="false">O328+G329+H329+I329</f>
        <v>9.90985263269978</v>
      </c>
      <c r="P329" s="17" t="n">
        <f aca="false">P328+F329</f>
        <v>0.157057386404796</v>
      </c>
      <c r="Q329" s="6" t="n">
        <f aca="false">MIN(MATCH(A329,$S$3:$X$3,1),5)</f>
        <v>5</v>
      </c>
    </row>
    <row r="330" customFormat="false" ht="15" hidden="false" customHeight="false" outlineLevel="0" collapsed="false">
      <c r="A330" s="6" t="n">
        <v>323</v>
      </c>
      <c r="B330" s="14" t="n">
        <f aca="false">INDEX($S$4:$X$4,Q330)*(INDEX($S$4:$X$4,Q330+1)/INDEX($S$4:$X$4,Q330))^((LN(A330)-LN(INDEX($S$3:$X$3,Q330)))/(LN(INDEX($S$3:$X$3,Q330+1))-LN(INDEX($S$3:$X$3,Q330))))</f>
        <v>0.00581723495140561</v>
      </c>
      <c r="C330" s="33" t="n">
        <f aca="false">C329+B330</f>
        <v>8.35361820773976</v>
      </c>
      <c r="D330" s="36" t="n">
        <f aca="false">Допущения!$B$19*(1-EXP(-Допущения!$B$26*(A330+1)))</f>
        <v>0.00999999999999998</v>
      </c>
      <c r="E330" s="37" t="n">
        <f aca="false">D330-D329</f>
        <v>0</v>
      </c>
      <c r="F330" s="37" t="n">
        <f aca="false">D330*MIN(1,B330*Допущения!$B$21)</f>
        <v>0.00014543087378514</v>
      </c>
      <c r="G330" s="17" t="n">
        <f aca="false">((B330-F330*Допущения!$B$23)*Допущения!$B$13*Допущения!$B$15+B330*Допущения!$B$14*Допущения!$B$16)/1000</f>
        <v>0.00572212315995012</v>
      </c>
      <c r="H330" s="17" t="n">
        <f aca="false">E330*Допущения!$B$27</f>
        <v>0</v>
      </c>
      <c r="I330" s="17" t="n">
        <f aca="false">F330*Допущения!$B$22/30*Допущения!$B$28</f>
        <v>0.000704433626494781</v>
      </c>
      <c r="J330" s="17" t="n">
        <f aca="false">G330*Допущения!$B$17+(H330+I330)*Допущения!$B$18</f>
        <v>0.00321327839322245</v>
      </c>
      <c r="K330" s="19" t="n">
        <f aca="false">K329+J330</f>
        <v>4.95813959474311</v>
      </c>
      <c r="L330" s="19" t="n">
        <f aca="false">L329+G330*Допущения!$B$17</f>
        <v>4.10991249124531</v>
      </c>
      <c r="M330" s="19" t="n">
        <f aca="false">M329+H330*Допущения!$B$18</f>
        <v>0.467499999999986</v>
      </c>
      <c r="N330" s="19" t="n">
        <f aca="false">N329+I330*Допущения!$B$18</f>
        <v>0.380727103497823</v>
      </c>
      <c r="O330" s="19" t="n">
        <f aca="false">O329+G330+H330+I330</f>
        <v>9.91627918948622</v>
      </c>
      <c r="P330" s="17" t="n">
        <f aca="false">P329+F330</f>
        <v>0.157202817278582</v>
      </c>
      <c r="Q330" s="6" t="n">
        <f aca="false">MIN(MATCH(A330,$S$3:$X$3,1),5)</f>
        <v>5</v>
      </c>
    </row>
    <row r="331" customFormat="false" ht="15" hidden="false" customHeight="false" outlineLevel="0" collapsed="false">
      <c r="A331" s="6" t="n">
        <v>324</v>
      </c>
      <c r="B331" s="14" t="n">
        <f aca="false">INDEX($S$4:$X$4,Q331)*(INDEX($S$4:$X$4,Q331+1)/INDEX($S$4:$X$4,Q331))^((LN(A331)-LN(INDEX($S$3:$X$3,Q331)))/(LN(INDEX($S$3:$X$3,Q331+1))-LN(INDEX($S$3:$X$3,Q331))))</f>
        <v>0.0057950085350137</v>
      </c>
      <c r="C331" s="33" t="n">
        <f aca="false">C330+B331</f>
        <v>8.35941321627477</v>
      </c>
      <c r="D331" s="36" t="n">
        <f aca="false">Допущения!$B$19*(1-EXP(-Допущения!$B$26*(A331+1)))</f>
        <v>0.00999999999999999</v>
      </c>
      <c r="E331" s="37" t="n">
        <f aca="false">D331-D330</f>
        <v>0</v>
      </c>
      <c r="F331" s="37" t="n">
        <f aca="false">D331*MIN(1,B331*Допущения!$B$21)</f>
        <v>0.000144875213375342</v>
      </c>
      <c r="G331" s="17" t="n">
        <f aca="false">((B331-F331*Допущения!$B$23)*Допущения!$B$13*Допущения!$B$15+B331*Допущения!$B$14*Допущения!$B$16)/1000</f>
        <v>0.00570026014546623</v>
      </c>
      <c r="H331" s="17" t="n">
        <f aca="false">E331*Допущения!$B$27</f>
        <v>0</v>
      </c>
      <c r="I331" s="17" t="n">
        <f aca="false">F331*Допущения!$B$22/30*Допущения!$B$28</f>
        <v>0.000701742135565891</v>
      </c>
      <c r="J331" s="17" t="n">
        <f aca="false">G331*Допущения!$B$17+(H331+I331)*Допущения!$B$18</f>
        <v>0.00320100114051606</v>
      </c>
      <c r="K331" s="19" t="n">
        <f aca="false">K330+J331</f>
        <v>4.96134059588362</v>
      </c>
      <c r="L331" s="19" t="n">
        <f aca="false">L330+G331*Допущения!$B$17</f>
        <v>4.11276262131804</v>
      </c>
      <c r="M331" s="19" t="n">
        <f aca="false">M330+H331*Допущения!$B$18</f>
        <v>0.467499999999986</v>
      </c>
      <c r="N331" s="19" t="n">
        <f aca="false">N330+I331*Допущения!$B$18</f>
        <v>0.381077974565606</v>
      </c>
      <c r="O331" s="19" t="n">
        <f aca="false">O330+G331+H331+I331</f>
        <v>9.92268119176726</v>
      </c>
      <c r="P331" s="17" t="n">
        <f aca="false">P330+F331</f>
        <v>0.157347692491957</v>
      </c>
      <c r="Q331" s="6" t="n">
        <f aca="false">MIN(MATCH(A331,$S$3:$X$3,1),5)</f>
        <v>5</v>
      </c>
    </row>
    <row r="332" customFormat="false" ht="15" hidden="false" customHeight="false" outlineLevel="0" collapsed="false">
      <c r="A332" s="6" t="n">
        <v>325</v>
      </c>
      <c r="B332" s="14" t="n">
        <f aca="false">INDEX($S$4:$X$4,Q332)*(INDEX($S$4:$X$4,Q332+1)/INDEX($S$4:$X$4,Q332))^((LN(A332)-LN(INDEX($S$3:$X$3,Q332)))/(LN(INDEX($S$3:$X$3,Q332+1))-LN(INDEX($S$3:$X$3,Q332))))</f>
        <v>0.00577293514366655</v>
      </c>
      <c r="C332" s="33" t="n">
        <f aca="false">C331+B332</f>
        <v>8.36518615141844</v>
      </c>
      <c r="D332" s="36" t="n">
        <f aca="false">Допущения!$B$19*(1-EXP(-Допущения!$B$26*(A332+1)))</f>
        <v>0.00999999999999999</v>
      </c>
      <c r="E332" s="37" t="n">
        <f aca="false">D332-D331</f>
        <v>0</v>
      </c>
      <c r="F332" s="37" t="n">
        <f aca="false">D332*MIN(1,B332*Допущения!$B$21)</f>
        <v>0.000144323378591664</v>
      </c>
      <c r="G332" s="17" t="n">
        <f aca="false">((B332-F332*Допущения!$B$23)*Допущения!$B$13*Допущения!$B$15+B332*Допущения!$B$14*Допущения!$B$16)/1000</f>
        <v>0.00567854765406761</v>
      </c>
      <c r="H332" s="17" t="n">
        <f aca="false">E332*Допущения!$B$27</f>
        <v>0</v>
      </c>
      <c r="I332" s="17" t="n">
        <f aca="false">F332*Допущения!$B$22/30*Допущения!$B$28</f>
        <v>0.000699069175088001</v>
      </c>
      <c r="J332" s="17" t="n">
        <f aca="false">G332*Допущения!$B$17+(H332+I332)*Допущения!$B$18</f>
        <v>0.0031888084145778</v>
      </c>
      <c r="K332" s="19" t="n">
        <f aca="false">K331+J332</f>
        <v>4.9645294042982</v>
      </c>
      <c r="L332" s="19" t="n">
        <f aca="false">L331+G332*Допущения!$B$17</f>
        <v>4.11560189514507</v>
      </c>
      <c r="M332" s="19" t="n">
        <f aca="false">M331+H332*Допущения!$B$18</f>
        <v>0.467499999999986</v>
      </c>
      <c r="N332" s="19" t="n">
        <f aca="false">N331+I332*Допущения!$B$18</f>
        <v>0.38142750915315</v>
      </c>
      <c r="O332" s="19" t="n">
        <f aca="false">O331+G332+H332+I332</f>
        <v>9.92905880859641</v>
      </c>
      <c r="P332" s="17" t="n">
        <f aca="false">P331+F332</f>
        <v>0.157492015870549</v>
      </c>
      <c r="Q332" s="6" t="n">
        <f aca="false">MIN(MATCH(A332,$S$3:$X$3,1),5)</f>
        <v>5</v>
      </c>
    </row>
    <row r="333" customFormat="false" ht="15" hidden="false" customHeight="false" outlineLevel="0" collapsed="false">
      <c r="A333" s="6" t="n">
        <v>326</v>
      </c>
      <c r="B333" s="14" t="n">
        <f aca="false">INDEX($S$4:$X$4,Q333)*(INDEX($S$4:$X$4,Q333+1)/INDEX($S$4:$X$4,Q333))^((LN(A333)-LN(INDEX($S$3:$X$3,Q333)))/(LN(INDEX($S$3:$X$3,Q333+1))-LN(INDEX($S$3:$X$3,Q333))))</f>
        <v>0.00575101325781384</v>
      </c>
      <c r="C333" s="33" t="n">
        <f aca="false">C332+B333</f>
        <v>8.37093716467625</v>
      </c>
      <c r="D333" s="36" t="n">
        <f aca="false">Допущения!$B$19*(1-EXP(-Допущения!$B$26*(A333+1)))</f>
        <v>0.00999999999999999</v>
      </c>
      <c r="E333" s="37" t="n">
        <f aca="false">D333-D332</f>
        <v>0</v>
      </c>
      <c r="F333" s="37" t="n">
        <f aca="false">D333*MIN(1,B333*Допущения!$B$21)</f>
        <v>0.000143775331445346</v>
      </c>
      <c r="G333" s="17" t="n">
        <f aca="false">((B333-F333*Допущения!$B$23)*Допущения!$B$13*Допущения!$B$15+B333*Допущения!$B$14*Допущения!$B$16)/1000</f>
        <v>0.00565698419104858</v>
      </c>
      <c r="H333" s="17" t="n">
        <f aca="false">E333*Допущения!$B$27</f>
        <v>0</v>
      </c>
      <c r="I333" s="17" t="n">
        <f aca="false">F333*Допущения!$B$22/30*Допущения!$B$28</f>
        <v>0.000696414561052323</v>
      </c>
      <c r="J333" s="17" t="n">
        <f aca="false">G333*Допущения!$B$17+(H333+I333)*Допущения!$B$18</f>
        <v>0.00317669937605045</v>
      </c>
      <c r="K333" s="19" t="n">
        <f aca="false">K332+J333</f>
        <v>4.96770610367425</v>
      </c>
      <c r="L333" s="19" t="n">
        <f aca="false">L332+G333*Допущения!$B$17</f>
        <v>4.1184303872406</v>
      </c>
      <c r="M333" s="19" t="n">
        <f aca="false">M332+H333*Допущения!$B$18</f>
        <v>0.467499999999986</v>
      </c>
      <c r="N333" s="19" t="n">
        <f aca="false">N332+I333*Допущения!$B$18</f>
        <v>0.381775716433676</v>
      </c>
      <c r="O333" s="19" t="n">
        <f aca="false">O332+G333+H333+I333</f>
        <v>9.93541220734851</v>
      </c>
      <c r="P333" s="17" t="n">
        <f aca="false">P332+F333</f>
        <v>0.157635791201994</v>
      </c>
      <c r="Q333" s="6" t="n">
        <f aca="false">MIN(MATCH(A333,$S$3:$X$3,1),5)</f>
        <v>5</v>
      </c>
    </row>
    <row r="334" customFormat="false" ht="15" hidden="false" customHeight="false" outlineLevel="0" collapsed="false">
      <c r="A334" s="6" t="n">
        <v>327</v>
      </c>
      <c r="B334" s="14" t="n">
        <f aca="false">INDEX($S$4:$X$4,Q334)*(INDEX($S$4:$X$4,Q334+1)/INDEX($S$4:$X$4,Q334))^((LN(A334)-LN(INDEX($S$3:$X$3,Q334)))/(LN(INDEX($S$3:$X$3,Q334+1))-LN(INDEX($S$3:$X$3,Q334))))</f>
        <v>0.00572924137759359</v>
      </c>
      <c r="C334" s="33" t="n">
        <f aca="false">C333+B334</f>
        <v>8.37666640605385</v>
      </c>
      <c r="D334" s="36" t="n">
        <f aca="false">Допущения!$B$19*(1-EXP(-Допущения!$B$26*(A334+1)))</f>
        <v>0.00999999999999999</v>
      </c>
      <c r="E334" s="37" t="n">
        <f aca="false">D334-D333</f>
        <v>0</v>
      </c>
      <c r="F334" s="37" t="n">
        <f aca="false">D334*MIN(1,B334*Допущения!$B$21)</f>
        <v>0.00014323103443984</v>
      </c>
      <c r="G334" s="17" t="n">
        <f aca="false">((B334-F334*Допущения!$B$23)*Допущения!$B$13*Допущения!$B$15+B334*Допущения!$B$14*Допущения!$B$16)/1000</f>
        <v>0.00563556828106994</v>
      </c>
      <c r="H334" s="17" t="n">
        <f aca="false">E334*Допущения!$B$27</f>
        <v>0</v>
      </c>
      <c r="I334" s="17" t="n">
        <f aca="false">F334*Допущения!$B$22/30*Допущения!$B$28</f>
        <v>0.00069377811183422</v>
      </c>
      <c r="J334" s="17" t="n">
        <f aca="false">G334*Допущения!$B$17+(H334+I334)*Допущения!$B$18</f>
        <v>0.00316467319645208</v>
      </c>
      <c r="K334" s="19" t="n">
        <f aca="false">K333+J334</f>
        <v>4.9708707768707</v>
      </c>
      <c r="L334" s="19" t="n">
        <f aca="false">L333+G334*Допущения!$B$17</f>
        <v>4.12124817138113</v>
      </c>
      <c r="M334" s="19" t="n">
        <f aca="false">M333+H334*Допущения!$B$18</f>
        <v>0.467499999999986</v>
      </c>
      <c r="N334" s="19" t="n">
        <f aca="false">N333+I334*Допущения!$B$18</f>
        <v>0.382122605489594</v>
      </c>
      <c r="O334" s="19" t="n">
        <f aca="false">O333+G334+H334+I334</f>
        <v>9.94174155374142</v>
      </c>
      <c r="P334" s="17" t="n">
        <f aca="false">P333+F334</f>
        <v>0.157779022236434</v>
      </c>
      <c r="Q334" s="6" t="n">
        <f aca="false">MIN(MATCH(A334,$S$3:$X$3,1),5)</f>
        <v>5</v>
      </c>
    </row>
    <row r="335" customFormat="false" ht="15" hidden="false" customHeight="false" outlineLevel="0" collapsed="false">
      <c r="A335" s="6" t="n">
        <v>328</v>
      </c>
      <c r="B335" s="14" t="n">
        <f aca="false">INDEX($S$4:$X$4,Q335)*(INDEX($S$4:$X$4,Q335+1)/INDEX($S$4:$X$4,Q335))^((LN(A335)-LN(INDEX($S$3:$X$3,Q335)))/(LN(INDEX($S$3:$X$3,Q335+1))-LN(INDEX($S$3:$X$3,Q335))))</f>
        <v>0.0057076180225179</v>
      </c>
      <c r="C335" s="33" t="n">
        <f aca="false">C334+B335</f>
        <v>8.38237402407636</v>
      </c>
      <c r="D335" s="36" t="n">
        <f aca="false">Допущения!$B$19*(1-EXP(-Допущения!$B$26*(A335+1)))</f>
        <v>0.00999999999999999</v>
      </c>
      <c r="E335" s="37" t="n">
        <f aca="false">D335-D334</f>
        <v>0</v>
      </c>
      <c r="F335" s="37" t="n">
        <f aca="false">D335*MIN(1,B335*Допущения!$B$21)</f>
        <v>0.000142690450562947</v>
      </c>
      <c r="G335" s="17" t="n">
        <f aca="false">((B335-F335*Допущения!$B$23)*Допущения!$B$13*Допущения!$B$15+B335*Допущения!$B$14*Допущения!$B$16)/1000</f>
        <v>0.00561429846784973</v>
      </c>
      <c r="H335" s="17" t="n">
        <f aca="false">E335*Допущения!$B$27</f>
        <v>0</v>
      </c>
      <c r="I335" s="17" t="n">
        <f aca="false">F335*Допущения!$B$22/30*Допущения!$B$28</f>
        <v>0.000691159648155136</v>
      </c>
      <c r="J335" s="17" t="n">
        <f aca="false">G335*Допущения!$B$17+(H335+I335)*Допущения!$B$18</f>
        <v>0.00315272905800243</v>
      </c>
      <c r="K335" s="19" t="n">
        <f aca="false">K334+J335</f>
        <v>4.97402350592871</v>
      </c>
      <c r="L335" s="19" t="n">
        <f aca="false">L334+G335*Допущения!$B$17</f>
        <v>4.12405532061506</v>
      </c>
      <c r="M335" s="19" t="n">
        <f aca="false">M334+H335*Допущения!$B$18</f>
        <v>0.467499999999986</v>
      </c>
      <c r="N335" s="19" t="n">
        <f aca="false">N334+I335*Допущения!$B$18</f>
        <v>0.382468185313671</v>
      </c>
      <c r="O335" s="19" t="n">
        <f aca="false">O334+G335+H335+I335</f>
        <v>9.94804701185742</v>
      </c>
      <c r="P335" s="17" t="n">
        <f aca="false">P334+F335</f>
        <v>0.157921712686997</v>
      </c>
      <c r="Q335" s="6" t="n">
        <f aca="false">MIN(MATCH(A335,$S$3:$X$3,1),5)</f>
        <v>5</v>
      </c>
    </row>
    <row r="336" customFormat="false" ht="15" hidden="false" customHeight="false" outlineLevel="0" collapsed="false">
      <c r="A336" s="6" t="n">
        <v>329</v>
      </c>
      <c r="B336" s="14" t="n">
        <f aca="false">INDEX($S$4:$X$4,Q336)*(INDEX($S$4:$X$4,Q336+1)/INDEX($S$4:$X$4,Q336))^((LN(A336)-LN(INDEX($S$3:$X$3,Q336)))/(LN(INDEX($S$3:$X$3,Q336+1))-LN(INDEX($S$3:$X$3,Q336))))</f>
        <v>0.00568614173116453</v>
      </c>
      <c r="C336" s="33" t="n">
        <f aca="false">C335+B336</f>
        <v>8.38806016580753</v>
      </c>
      <c r="D336" s="36" t="n">
        <f aca="false">Допущения!$B$19*(1-EXP(-Допущения!$B$26*(A336+1)))</f>
        <v>0.00999999999999999</v>
      </c>
      <c r="E336" s="37" t="n">
        <f aca="false">D336-D335</f>
        <v>0</v>
      </c>
      <c r="F336" s="37" t="n">
        <f aca="false">D336*MIN(1,B336*Допущения!$B$21)</f>
        <v>0.000142153543279113</v>
      </c>
      <c r="G336" s="17" t="n">
        <f aca="false">((B336-F336*Допущения!$B$23)*Допущения!$B$13*Допущения!$B$15+B336*Допущения!$B$14*Допущения!$B$16)/1000</f>
        <v>0.00559317331385999</v>
      </c>
      <c r="H336" s="17" t="n">
        <f aca="false">E336*Допущения!$B$27</f>
        <v>0</v>
      </c>
      <c r="I336" s="17" t="n">
        <f aca="false">F336*Допущения!$B$22/30*Допущения!$B$28</f>
        <v>0.000688558993045262</v>
      </c>
      <c r="J336" s="17" t="n">
        <f aca="false">G336*Допущения!$B$17+(H336+I336)*Допущения!$B$18</f>
        <v>0.00314086615345263</v>
      </c>
      <c r="K336" s="19" t="n">
        <f aca="false">K335+J336</f>
        <v>4.97716437208216</v>
      </c>
      <c r="L336" s="19" t="n">
        <f aca="false">L335+G336*Допущения!$B$17</f>
        <v>4.12685190727199</v>
      </c>
      <c r="M336" s="19" t="n">
        <f aca="false">M335+H336*Допущения!$B$18</f>
        <v>0.467499999999986</v>
      </c>
      <c r="N336" s="19" t="n">
        <f aca="false">N335+I336*Допущения!$B$18</f>
        <v>0.382812464810194</v>
      </c>
      <c r="O336" s="19" t="n">
        <f aca="false">O335+G336+H336+I336</f>
        <v>9.95432874416433</v>
      </c>
      <c r="P336" s="17" t="n">
        <f aca="false">P335+F336</f>
        <v>0.158063866230276</v>
      </c>
      <c r="Q336" s="6" t="n">
        <f aca="false">MIN(MATCH(A336,$S$3:$X$3,1),5)</f>
        <v>5</v>
      </c>
    </row>
    <row r="337" customFormat="false" ht="15" hidden="false" customHeight="false" outlineLevel="0" collapsed="false">
      <c r="A337" s="6" t="n">
        <v>330</v>
      </c>
      <c r="B337" s="14" t="n">
        <f aca="false">INDEX($S$4:$X$4,Q337)*(INDEX($S$4:$X$4,Q337+1)/INDEX($S$4:$X$4,Q337))^((LN(A337)-LN(INDEX($S$3:$X$3,Q337)))/(LN(INDEX($S$3:$X$3,Q337+1))-LN(INDEX($S$3:$X$3,Q337))))</f>
        <v>0.00566481106087438</v>
      </c>
      <c r="C337" s="33" t="n">
        <f aca="false">C336+B337</f>
        <v>8.3937249768684</v>
      </c>
      <c r="D337" s="36" t="n">
        <f aca="false">Допущения!$B$19*(1-EXP(-Допущения!$B$26*(A337+1)))</f>
        <v>0.00999999999999999</v>
      </c>
      <c r="E337" s="37" t="n">
        <f aca="false">D337-D336</f>
        <v>0</v>
      </c>
      <c r="F337" s="37" t="n">
        <f aca="false">D337*MIN(1,B337*Допущения!$B$21)</f>
        <v>0.000141620276521859</v>
      </c>
      <c r="G337" s="17" t="n">
        <f aca="false">((B337-F337*Допущения!$B$23)*Допущения!$B$13*Допущения!$B$15+B337*Допущения!$B$14*Допущения!$B$16)/1000</f>
        <v>0.00557219140002908</v>
      </c>
      <c r="H337" s="17" t="n">
        <f aca="false">E337*Допущения!$B$27</f>
        <v>0</v>
      </c>
      <c r="I337" s="17" t="n">
        <f aca="false">F337*Допущения!$B$22/30*Допущения!$B$28</f>
        <v>0.000685975971806894</v>
      </c>
      <c r="J337" s="17" t="n">
        <f aca="false">G337*Допущения!$B$17+(H337+I337)*Допущения!$B$18</f>
        <v>0.00312908368591799</v>
      </c>
      <c r="K337" s="19" t="n">
        <f aca="false">K336+J337</f>
        <v>4.98029345576808</v>
      </c>
      <c r="L337" s="19" t="n">
        <f aca="false">L336+G337*Допущения!$B$17</f>
        <v>4.129638002972</v>
      </c>
      <c r="M337" s="19" t="n">
        <f aca="false">M336+H337*Допущения!$B$18</f>
        <v>0.467499999999986</v>
      </c>
      <c r="N337" s="19" t="n">
        <f aca="false">N336+I337*Допущения!$B$18</f>
        <v>0.383155452796097</v>
      </c>
      <c r="O337" s="19" t="n">
        <f aca="false">O336+G337+H337+I337</f>
        <v>9.96058691153617</v>
      </c>
      <c r="P337" s="17" t="n">
        <f aca="false">P336+F337</f>
        <v>0.158205486506798</v>
      </c>
      <c r="Q337" s="6" t="n">
        <f aca="false">MIN(MATCH(A337,$S$3:$X$3,1),5)</f>
        <v>5</v>
      </c>
    </row>
    <row r="338" customFormat="false" ht="15" hidden="false" customHeight="false" outlineLevel="0" collapsed="false">
      <c r="A338" s="6" t="n">
        <v>331</v>
      </c>
      <c r="B338" s="14" t="n">
        <f aca="false">INDEX($S$4:$X$4,Q338)*(INDEX($S$4:$X$4,Q338+1)/INDEX($S$4:$X$4,Q338))^((LN(A338)-LN(INDEX($S$3:$X$3,Q338)))/(LN(INDEX($S$3:$X$3,Q338+1))-LN(INDEX($S$3:$X$3,Q338))))</f>
        <v>0.00564362458745464</v>
      </c>
      <c r="C338" s="33" t="n">
        <f aca="false">C337+B338</f>
        <v>8.39936860145586</v>
      </c>
      <c r="D338" s="36" t="n">
        <f aca="false">Допущения!$B$19*(1-EXP(-Допущения!$B$26*(A338+1)))</f>
        <v>0.00999999999999999</v>
      </c>
      <c r="E338" s="37" t="n">
        <f aca="false">D338-D337</f>
        <v>0</v>
      </c>
      <c r="F338" s="37" t="n">
        <f aca="false">D338*MIN(1,B338*Допущения!$B$21)</f>
        <v>0.000141090614686366</v>
      </c>
      <c r="G338" s="17" t="n">
        <f aca="false">((B338-F338*Допущения!$B$23)*Допущения!$B$13*Допущения!$B$15+B338*Допущения!$B$14*Допущения!$B$16)/1000</f>
        <v>0.00555135132544975</v>
      </c>
      <c r="H338" s="17" t="n">
        <f aca="false">E338*Допущения!$B$27</f>
        <v>0</v>
      </c>
      <c r="I338" s="17" t="n">
        <f aca="false">F338*Допущения!$B$22/30*Допущения!$B$28</f>
        <v>0.000683410411978492</v>
      </c>
      <c r="J338" s="17" t="n">
        <f aca="false">G338*Допущения!$B$17+(H338+I338)*Допущения!$B$18</f>
        <v>0.00311738086871412</v>
      </c>
      <c r="K338" s="19" t="n">
        <f aca="false">K337+J338</f>
        <v>4.98341083663679</v>
      </c>
      <c r="L338" s="19" t="n">
        <f aca="false">L337+G338*Допущения!$B$17</f>
        <v>4.13241367863473</v>
      </c>
      <c r="M338" s="19" t="n">
        <f aca="false">M337+H338*Допущения!$B$18</f>
        <v>0.467499999999986</v>
      </c>
      <c r="N338" s="19" t="n">
        <f aca="false">N337+I338*Допущения!$B$18</f>
        <v>0.383497158002086</v>
      </c>
      <c r="O338" s="19" t="n">
        <f aca="false">O337+G338+H338+I338</f>
        <v>9.96682167327359</v>
      </c>
      <c r="P338" s="17" t="n">
        <f aca="false">P337+F338</f>
        <v>0.158346577121484</v>
      </c>
      <c r="Q338" s="6" t="n">
        <f aca="false">MIN(MATCH(A338,$S$3:$X$3,1),5)</f>
        <v>5</v>
      </c>
    </row>
    <row r="339" customFormat="false" ht="15" hidden="false" customHeight="false" outlineLevel="0" collapsed="false">
      <c r="A339" s="6" t="n">
        <v>332</v>
      </c>
      <c r="B339" s="14" t="n">
        <f aca="false">INDEX($S$4:$X$4,Q339)*(INDEX($S$4:$X$4,Q339+1)/INDEX($S$4:$X$4,Q339))^((LN(A339)-LN(INDEX($S$3:$X$3,Q339)))/(LN(INDEX($S$3:$X$3,Q339+1))-LN(INDEX($S$3:$X$3,Q339))))</f>
        <v>0.00562258090488757</v>
      </c>
      <c r="C339" s="33" t="n">
        <f aca="false">C338+B339</f>
        <v>8.40499118236075</v>
      </c>
      <c r="D339" s="36" t="n">
        <f aca="false">Допущения!$B$19*(1-EXP(-Допущения!$B$26*(A339+1)))</f>
        <v>0.00999999999999999</v>
      </c>
      <c r="E339" s="37" t="n">
        <f aca="false">D339-D338</f>
        <v>0</v>
      </c>
      <c r="F339" s="37" t="n">
        <f aca="false">D339*MIN(1,B339*Допущения!$B$21)</f>
        <v>0.000140564522622189</v>
      </c>
      <c r="G339" s="17" t="n">
        <f aca="false">((B339-F339*Допущения!$B$23)*Допущения!$B$13*Допущения!$B$15+B339*Допущения!$B$14*Допущения!$B$16)/1000</f>
        <v>0.00553065170709266</v>
      </c>
      <c r="H339" s="17" t="n">
        <f aca="false">E339*Допущения!$B$27</f>
        <v>0</v>
      </c>
      <c r="I339" s="17" t="n">
        <f aca="false">F339*Допущения!$B$22/30*Допущения!$B$28</f>
        <v>0.000680862143299411</v>
      </c>
      <c r="J339" s="17" t="n">
        <f aca="false">G339*Допущения!$B$17+(H339+I339)*Допущения!$B$18</f>
        <v>0.00310575692519603</v>
      </c>
      <c r="K339" s="19" t="n">
        <f aca="false">K338+J339</f>
        <v>4.98651659356199</v>
      </c>
      <c r="L339" s="19" t="n">
        <f aca="false">L338+G339*Допущения!$B$17</f>
        <v>4.13517900448827</v>
      </c>
      <c r="M339" s="19" t="n">
        <f aca="false">M338+H339*Допущения!$B$18</f>
        <v>0.467499999999986</v>
      </c>
      <c r="N339" s="19" t="n">
        <f aca="false">N338+I339*Допущения!$B$18</f>
        <v>0.383837589073736</v>
      </c>
      <c r="O339" s="19" t="n">
        <f aca="false">O338+G339+H339+I339</f>
        <v>9.97303318712399</v>
      </c>
      <c r="P339" s="17" t="n">
        <f aca="false">P338+F339</f>
        <v>0.158487141644106</v>
      </c>
      <c r="Q339" s="6" t="n">
        <f aca="false">MIN(MATCH(A339,$S$3:$X$3,1),5)</f>
        <v>5</v>
      </c>
    </row>
    <row r="340" customFormat="false" ht="15" hidden="false" customHeight="false" outlineLevel="0" collapsed="false">
      <c r="A340" s="6" t="n">
        <v>333</v>
      </c>
      <c r="B340" s="14" t="n">
        <f aca="false">INDEX($S$4:$X$4,Q340)*(INDEX($S$4:$X$4,Q340+1)/INDEX($S$4:$X$4,Q340))^((LN(A340)-LN(INDEX($S$3:$X$3,Q340)))/(LN(INDEX($S$3:$X$3,Q340+1))-LN(INDEX($S$3:$X$3,Q340))))</f>
        <v>0.00560167862504464</v>
      </c>
      <c r="C340" s="33" t="n">
        <f aca="false">C339+B340</f>
        <v>8.41059286098579</v>
      </c>
      <c r="D340" s="36" t="n">
        <f aca="false">Допущения!$B$19*(1-EXP(-Допущения!$B$26*(A340+1)))</f>
        <v>0.01</v>
      </c>
      <c r="E340" s="37" t="n">
        <f aca="false">D340-D339</f>
        <v>0</v>
      </c>
      <c r="F340" s="37" t="n">
        <f aca="false">D340*MIN(1,B340*Допущения!$B$21)</f>
        <v>0.000140041965626116</v>
      </c>
      <c r="G340" s="17" t="n">
        <f aca="false">((B340-F340*Допущения!$B$23)*Допущения!$B$13*Допущения!$B$15+B340*Допущения!$B$14*Допущения!$B$16)/1000</f>
        <v>0.00551009117952516</v>
      </c>
      <c r="H340" s="17" t="n">
        <f aca="false">E340*Допущения!$B$27</f>
        <v>0</v>
      </c>
      <c r="I340" s="17" t="n">
        <f aca="false">F340*Допущения!$B$22/30*Допущения!$B$28</f>
        <v>0.000678330997675285</v>
      </c>
      <c r="J340" s="17" t="n">
        <f aca="false">G340*Допущения!$B$17+(H340+I340)*Допущения!$B$18</f>
        <v>0.00309421108860022</v>
      </c>
      <c r="K340" s="19" t="n">
        <f aca="false">K339+J340</f>
        <v>4.98961080465059</v>
      </c>
      <c r="L340" s="19" t="n">
        <f aca="false">L339+G340*Допущения!$B$17</f>
        <v>4.13793405007804</v>
      </c>
      <c r="M340" s="19" t="n">
        <f aca="false">M339+H340*Допущения!$B$18</f>
        <v>0.467499999999986</v>
      </c>
      <c r="N340" s="19" t="n">
        <f aca="false">N339+I340*Допущения!$B$18</f>
        <v>0.384176754572574</v>
      </c>
      <c r="O340" s="19" t="n">
        <f aca="false">O339+G340+H340+I340</f>
        <v>9.97922160930119</v>
      </c>
      <c r="P340" s="17" t="n">
        <f aca="false">P339+F340</f>
        <v>0.158627183609732</v>
      </c>
      <c r="Q340" s="6" t="n">
        <f aca="false">MIN(MATCH(A340,$S$3:$X$3,1),5)</f>
        <v>5</v>
      </c>
    </row>
    <row r="341" customFormat="false" ht="15" hidden="false" customHeight="false" outlineLevel="0" collapsed="false">
      <c r="A341" s="6" t="n">
        <v>334</v>
      </c>
      <c r="B341" s="14" t="n">
        <f aca="false">INDEX($S$4:$X$4,Q341)*(INDEX($S$4:$X$4,Q341+1)/INDEX($S$4:$X$4,Q341))^((LN(A341)-LN(INDEX($S$3:$X$3,Q341)))/(LN(INDEX($S$3:$X$3,Q341+1))-LN(INDEX($S$3:$X$3,Q341))))</f>
        <v>0.00558091637740611</v>
      </c>
      <c r="C341" s="33" t="n">
        <f aca="false">C340+B341</f>
        <v>8.4161737773632</v>
      </c>
      <c r="D341" s="36" t="n">
        <f aca="false">Допущения!$B$19*(1-EXP(-Допущения!$B$26*(A341+1)))</f>
        <v>0.01</v>
      </c>
      <c r="E341" s="37" t="n">
        <f aca="false">D341-D340</f>
        <v>0</v>
      </c>
      <c r="F341" s="37" t="n">
        <f aca="false">D341*MIN(1,B341*Допущения!$B$21)</f>
        <v>0.000139522909435153</v>
      </c>
      <c r="G341" s="17" t="n">
        <f aca="false">((B341-F341*Допущения!$B$23)*Допущения!$B$13*Допущения!$B$15+B341*Допущения!$B$14*Допущения!$B$16)/1000</f>
        <v>0.00548966839463552</v>
      </c>
      <c r="H341" s="17" t="n">
        <f aca="false">E341*Допущения!$B$27</f>
        <v>0</v>
      </c>
      <c r="I341" s="17" t="n">
        <f aca="false">F341*Допущения!$B$22/30*Допущения!$B$28</f>
        <v>0.000675816809144072</v>
      </c>
      <c r="J341" s="17" t="n">
        <f aca="false">G341*Допущения!$B$17+(H341+I341)*Допущения!$B$18</f>
        <v>0.0030827426018898</v>
      </c>
      <c r="K341" s="19" t="n">
        <f aca="false">K340+J341</f>
        <v>4.99269354725248</v>
      </c>
      <c r="L341" s="19" t="n">
        <f aca="false">L340+G341*Допущения!$B$17</f>
        <v>4.14067888427535</v>
      </c>
      <c r="M341" s="19" t="n">
        <f aca="false">M340+H341*Допущения!$B$18</f>
        <v>0.467499999999986</v>
      </c>
      <c r="N341" s="19" t="n">
        <f aca="false">N340+I341*Допущения!$B$18</f>
        <v>0.384514662977146</v>
      </c>
      <c r="O341" s="19" t="n">
        <f aca="false">O340+G341+H341+I341</f>
        <v>9.98538709450497</v>
      </c>
      <c r="P341" s="17" t="n">
        <f aca="false">P340+F341</f>
        <v>0.158766706519168</v>
      </c>
      <c r="Q341" s="6" t="n">
        <f aca="false">MIN(MATCH(A341,$S$3:$X$3,1),5)</f>
        <v>5</v>
      </c>
    </row>
    <row r="342" customFormat="false" ht="15" hidden="false" customHeight="false" outlineLevel="0" collapsed="false">
      <c r="A342" s="6" t="n">
        <v>335</v>
      </c>
      <c r="B342" s="14" t="n">
        <f aca="false">INDEX($S$4:$X$4,Q342)*(INDEX($S$4:$X$4,Q342+1)/INDEX($S$4:$X$4,Q342))^((LN(A342)-LN(INDEX($S$3:$X$3,Q342)))/(LN(INDEX($S$3:$X$3,Q342+1))-LN(INDEX($S$3:$X$3,Q342))))</f>
        <v>0.00556029280878573</v>
      </c>
      <c r="C342" s="33" t="n">
        <f aca="false">C341+B342</f>
        <v>8.42173407017198</v>
      </c>
      <c r="D342" s="36" t="n">
        <f aca="false">Допущения!$B$19*(1-EXP(-Допущения!$B$26*(A342+1)))</f>
        <v>0.01</v>
      </c>
      <c r="E342" s="37" t="n">
        <f aca="false">D342-D341</f>
        <v>0</v>
      </c>
      <c r="F342" s="37" t="n">
        <f aca="false">D342*MIN(1,B342*Допущения!$B$21)</f>
        <v>0.000139007320219643</v>
      </c>
      <c r="G342" s="17" t="n">
        <f aca="false">((B342-F342*Допущения!$B$23)*Допущения!$B$13*Допущения!$B$15+B342*Допущения!$B$14*Допущения!$B$16)/1000</f>
        <v>0.00546938202136208</v>
      </c>
      <c r="H342" s="17" t="n">
        <f aca="false">E342*Допущения!$B$27</f>
        <v>0</v>
      </c>
      <c r="I342" s="17" t="n">
        <f aca="false">F342*Допущения!$B$22/30*Допущения!$B$28</f>
        <v>0.000673319413842717</v>
      </c>
      <c r="J342" s="17" t="n">
        <f aca="false">G342*Допущения!$B$17+(H342+I342)*Допущения!$B$18</f>
        <v>0.0030713507176024</v>
      </c>
      <c r="K342" s="19" t="n">
        <f aca="false">K341+J342</f>
        <v>4.99576489797008</v>
      </c>
      <c r="L342" s="19" t="n">
        <f aca="false">L341+G342*Допущения!$B$17</f>
        <v>4.14341357528603</v>
      </c>
      <c r="M342" s="19" t="n">
        <f aca="false">M341+H342*Допущения!$B$18</f>
        <v>0.467499999999986</v>
      </c>
      <c r="N342" s="19" t="n">
        <f aca="false">N341+I342*Допущения!$B$18</f>
        <v>0.384851322684067</v>
      </c>
      <c r="O342" s="19" t="n">
        <f aca="false">O341+G342+H342+I342</f>
        <v>9.99152979594017</v>
      </c>
      <c r="P342" s="17" t="n">
        <f aca="false">P341+F342</f>
        <v>0.158905713839387</v>
      </c>
      <c r="Q342" s="6" t="n">
        <f aca="false">MIN(MATCH(A342,$S$3:$X$3,1),5)</f>
        <v>5</v>
      </c>
    </row>
    <row r="343" customFormat="false" ht="15" hidden="false" customHeight="false" outlineLevel="0" collapsed="false">
      <c r="A343" s="6" t="n">
        <v>336</v>
      </c>
      <c r="B343" s="14" t="n">
        <f aca="false">INDEX($S$4:$X$4,Q343)*(INDEX($S$4:$X$4,Q343+1)/INDEX($S$4:$X$4,Q343))^((LN(A343)-LN(INDEX($S$3:$X$3,Q343)))/(LN(INDEX($S$3:$X$3,Q343+1))-LN(INDEX($S$3:$X$3,Q343))))</f>
        <v>0.00553980658306062</v>
      </c>
      <c r="C343" s="33" t="n">
        <f aca="false">C342+B343</f>
        <v>8.42727387675504</v>
      </c>
      <c r="D343" s="36" t="n">
        <f aca="false">Допущения!$B$19*(1-EXP(-Допущения!$B$26*(A343+1)))</f>
        <v>0.01</v>
      </c>
      <c r="E343" s="37" t="n">
        <f aca="false">D343-D342</f>
        <v>0</v>
      </c>
      <c r="F343" s="37" t="n">
        <f aca="false">D343*MIN(1,B343*Допущения!$B$21)</f>
        <v>0.000138495164576515</v>
      </c>
      <c r="G343" s="17" t="n">
        <f aca="false">((B343-F343*Допущения!$B$23)*Допущения!$B$13*Допущения!$B$15+B343*Допущения!$B$14*Допущения!$B$16)/1000</f>
        <v>0.00544923074542758</v>
      </c>
      <c r="H343" s="17" t="n">
        <f aca="false">E343*Допущения!$B$27</f>
        <v>0</v>
      </c>
      <c r="I343" s="17" t="n">
        <f aca="false">F343*Допущения!$B$22/30*Допущения!$B$28</f>
        <v>0.000670838649974439</v>
      </c>
      <c r="J343" s="17" t="n">
        <f aca="false">G343*Допущения!$B$17+(H343+I343)*Допущения!$B$18</f>
        <v>0.00306003469770101</v>
      </c>
      <c r="K343" s="19" t="n">
        <f aca="false">K342+J343</f>
        <v>4.99882493266778</v>
      </c>
      <c r="L343" s="19" t="n">
        <f aca="false">L342+G343*Допущения!$B$17</f>
        <v>4.14613819065875</v>
      </c>
      <c r="M343" s="19" t="n">
        <f aca="false">M342+H343*Допущения!$B$18</f>
        <v>0.467499999999986</v>
      </c>
      <c r="N343" s="19" t="n">
        <f aca="false">N342+I343*Допущения!$B$18</f>
        <v>0.385186742009054</v>
      </c>
      <c r="O343" s="19" t="n">
        <f aca="false">O342+G343+H343+I343</f>
        <v>9.99764986533557</v>
      </c>
      <c r="P343" s="17" t="n">
        <f aca="false">P342+F343</f>
        <v>0.159044209003964</v>
      </c>
      <c r="Q343" s="6" t="n">
        <f aca="false">MIN(MATCH(A343,$S$3:$X$3,1),5)</f>
        <v>5</v>
      </c>
    </row>
    <row r="344" customFormat="false" ht="15" hidden="false" customHeight="false" outlineLevel="0" collapsed="false">
      <c r="A344" s="6" t="n">
        <v>337</v>
      </c>
      <c r="B344" s="14" t="n">
        <f aca="false">INDEX($S$4:$X$4,Q344)*(INDEX($S$4:$X$4,Q344+1)/INDEX($S$4:$X$4,Q344))^((LN(A344)-LN(INDEX($S$3:$X$3,Q344)))/(LN(INDEX($S$3:$X$3,Q344+1))-LN(INDEX($S$3:$X$3,Q344))))</f>
        <v>0.00551945638090615</v>
      </c>
      <c r="C344" s="33" t="n">
        <f aca="false">C343+B344</f>
        <v>8.43279333313595</v>
      </c>
      <c r="D344" s="36" t="n">
        <f aca="false">Допущения!$B$19*(1-EXP(-Допущения!$B$26*(A344+1)))</f>
        <v>0.01</v>
      </c>
      <c r="E344" s="37" t="n">
        <f aca="false">D344-D343</f>
        <v>0</v>
      </c>
      <c r="F344" s="37" t="n">
        <f aca="false">D344*MIN(1,B344*Допущения!$B$21)</f>
        <v>0.000137986409522654</v>
      </c>
      <c r="G344" s="17" t="n">
        <f aca="false">((B344-F344*Допущения!$B$23)*Допущения!$B$13*Допущения!$B$15+B344*Допущения!$B$14*Допущения!$B$16)/1000</f>
        <v>0.00542921326907833</v>
      </c>
      <c r="H344" s="17" t="n">
        <f aca="false">E344*Допущения!$B$27</f>
        <v>0</v>
      </c>
      <c r="I344" s="17" t="n">
        <f aca="false">F344*Допущения!$B$22/30*Допущения!$B$28</f>
        <v>0.000668374357776629</v>
      </c>
      <c r="J344" s="17" t="n">
        <f aca="false">G344*Допущения!$B$17+(H344+I344)*Допущения!$B$18</f>
        <v>0.00304879381342748</v>
      </c>
      <c r="K344" s="19" t="n">
        <f aca="false">K343+J344</f>
        <v>5.00187372648121</v>
      </c>
      <c r="L344" s="19" t="n">
        <f aca="false">L343+G344*Допущения!$B$17</f>
        <v>4.14885279729329</v>
      </c>
      <c r="M344" s="19" t="n">
        <f aca="false">M343+H344*Допущения!$B$18</f>
        <v>0.467499999999986</v>
      </c>
      <c r="N344" s="19" t="n">
        <f aca="false">N343+I344*Допущения!$B$18</f>
        <v>0.385520929187943</v>
      </c>
      <c r="O344" s="19" t="n">
        <f aca="false">O343+G344+H344+I344</f>
        <v>10.0037474529624</v>
      </c>
      <c r="P344" s="17" t="n">
        <f aca="false">P343+F344</f>
        <v>0.159182195413486</v>
      </c>
      <c r="Q344" s="6" t="n">
        <f aca="false">MIN(MATCH(A344,$S$3:$X$3,1),5)</f>
        <v>5</v>
      </c>
    </row>
    <row r="345" customFormat="false" ht="15" hidden="false" customHeight="false" outlineLevel="0" collapsed="false">
      <c r="A345" s="6" t="n">
        <v>338</v>
      </c>
      <c r="B345" s="14" t="n">
        <f aca="false">INDEX($S$4:$X$4,Q345)*(INDEX($S$4:$X$4,Q345+1)/INDEX($S$4:$X$4,Q345))^((LN(A345)-LN(INDEX($S$3:$X$3,Q345)))/(LN(INDEX($S$3:$X$3,Q345+1))-LN(INDEX($S$3:$X$3,Q345))))</f>
        <v>0.00549924089953565</v>
      </c>
      <c r="C345" s="33" t="n">
        <f aca="false">C344+B345</f>
        <v>8.43829257403549</v>
      </c>
      <c r="D345" s="36" t="n">
        <f aca="false">Допущения!$B$19*(1-EXP(-Допущения!$B$26*(A345+1)))</f>
        <v>0.01</v>
      </c>
      <c r="E345" s="37" t="n">
        <f aca="false">D345-D344</f>
        <v>0</v>
      </c>
      <c r="F345" s="37" t="n">
        <f aca="false">D345*MIN(1,B345*Допущения!$B$21)</f>
        <v>0.000137481022488391</v>
      </c>
      <c r="G345" s="17" t="n">
        <f aca="false">((B345-F345*Допущения!$B$23)*Допущения!$B$13*Допущения!$B$15+B345*Допущения!$B$14*Допущения!$B$16)/1000</f>
        <v>0.00540932831082824</v>
      </c>
      <c r="H345" s="17" t="n">
        <f aca="false">E345*Допущения!$B$27</f>
        <v>0</v>
      </c>
      <c r="I345" s="17" t="n">
        <f aca="false">F345*Допущения!$B$22/30*Допущения!$B$28</f>
        <v>0.00066592637948933</v>
      </c>
      <c r="J345" s="17" t="n">
        <f aca="false">G345*Допущения!$B$17+(H345+I345)*Допущения!$B$18</f>
        <v>0.00303762734515879</v>
      </c>
      <c r="K345" s="19" t="n">
        <f aca="false">K344+J345</f>
        <v>5.00491135382637</v>
      </c>
      <c r="L345" s="19" t="n">
        <f aca="false">L344+G345*Допущения!$B$17</f>
        <v>4.1515574614487</v>
      </c>
      <c r="M345" s="19" t="n">
        <f aca="false">M344+H345*Допущения!$B$18</f>
        <v>0.467499999999986</v>
      </c>
      <c r="N345" s="19" t="n">
        <f aca="false">N344+I345*Допущения!$B$18</f>
        <v>0.385853892377687</v>
      </c>
      <c r="O345" s="19" t="n">
        <f aca="false">O344+G345+H345+I345</f>
        <v>10.0098227076527</v>
      </c>
      <c r="P345" s="17" t="n">
        <f aca="false">P344+F345</f>
        <v>0.159319676435975</v>
      </c>
      <c r="Q345" s="6" t="n">
        <f aca="false">MIN(MATCH(A345,$S$3:$X$3,1),5)</f>
        <v>5</v>
      </c>
    </row>
    <row r="346" customFormat="false" ht="15" hidden="false" customHeight="false" outlineLevel="0" collapsed="false">
      <c r="A346" s="6" t="n">
        <v>339</v>
      </c>
      <c r="B346" s="14" t="n">
        <f aca="false">INDEX($S$4:$X$4,Q346)*(INDEX($S$4:$X$4,Q346+1)/INDEX($S$4:$X$4,Q346))^((LN(A346)-LN(INDEX($S$3:$X$3,Q346)))/(LN(INDEX($S$3:$X$3,Q346+1))-LN(INDEX($S$3:$X$3,Q346))))</f>
        <v>0.00547915885244499</v>
      </c>
      <c r="C346" s="33" t="n">
        <f aca="false">C345+B346</f>
        <v>8.44377173288793</v>
      </c>
      <c r="D346" s="36" t="n">
        <f aca="false">Допущения!$B$19*(1-EXP(-Допущения!$B$26*(A346+1)))</f>
        <v>0.01</v>
      </c>
      <c r="E346" s="37" t="n">
        <f aca="false">D346-D345</f>
        <v>0</v>
      </c>
      <c r="F346" s="37" t="n">
        <f aca="false">D346*MIN(1,B346*Допущения!$B$21)</f>
        <v>0.000136978971311125</v>
      </c>
      <c r="G346" s="17" t="n">
        <f aca="false">((B346-F346*Допущения!$B$23)*Допущения!$B$13*Допущения!$B$15+B346*Допущения!$B$14*Допущения!$B$16)/1000</f>
        <v>0.00538957460520751</v>
      </c>
      <c r="H346" s="17" t="n">
        <f aca="false">E346*Допущения!$B$27</f>
        <v>0</v>
      </c>
      <c r="I346" s="17" t="n">
        <f aca="false">F346*Допущения!$B$22/30*Допущения!$B$28</f>
        <v>0.000663494559324306</v>
      </c>
      <c r="J346" s="17" t="n">
        <f aca="false">G346*Допущения!$B$17+(H346+I346)*Допущения!$B$18</f>
        <v>0.00302653458226591</v>
      </c>
      <c r="K346" s="19" t="n">
        <f aca="false">K345+J346</f>
        <v>5.00793788840863</v>
      </c>
      <c r="L346" s="19" t="n">
        <f aca="false">L345+G346*Допущения!$B$17</f>
        <v>4.1542522487513</v>
      </c>
      <c r="M346" s="19" t="n">
        <f aca="false">M345+H346*Допущения!$B$18</f>
        <v>0.467499999999986</v>
      </c>
      <c r="N346" s="19" t="n">
        <f aca="false">N345+I346*Допущения!$B$18</f>
        <v>0.38618563965735</v>
      </c>
      <c r="O346" s="19" t="n">
        <f aca="false">O345+G346+H346+I346</f>
        <v>10.0158757768173</v>
      </c>
      <c r="P346" s="17" t="n">
        <f aca="false">P345+F346</f>
        <v>0.159456655407286</v>
      </c>
      <c r="Q346" s="6" t="n">
        <f aca="false">MIN(MATCH(A346,$S$3:$X$3,1),5)</f>
        <v>5</v>
      </c>
    </row>
    <row r="347" customFormat="false" ht="15" hidden="false" customHeight="false" outlineLevel="0" collapsed="false">
      <c r="A347" s="6" t="n">
        <v>340</v>
      </c>
      <c r="B347" s="14" t="n">
        <f aca="false">INDEX($S$4:$X$4,Q347)*(INDEX($S$4:$X$4,Q347+1)/INDEX($S$4:$X$4,Q347))^((LN(A347)-LN(INDEX($S$3:$X$3,Q347)))/(LN(INDEX($S$3:$X$3,Q347+1))-LN(INDEX($S$3:$X$3,Q347))))</f>
        <v>0.00545920896916176</v>
      </c>
      <c r="C347" s="33" t="n">
        <f aca="false">C346+B347</f>
        <v>8.44923094185709</v>
      </c>
      <c r="D347" s="36" t="n">
        <f aca="false">Допущения!$B$19*(1-EXP(-Допущения!$B$26*(A347+1)))</f>
        <v>0.01</v>
      </c>
      <c r="E347" s="37" t="n">
        <f aca="false">D347-D346</f>
        <v>0</v>
      </c>
      <c r="F347" s="37" t="n">
        <f aca="false">D347*MIN(1,B347*Допущения!$B$21)</f>
        <v>0.000136480224229044</v>
      </c>
      <c r="G347" s="17" t="n">
        <f aca="false">((B347-F347*Допущения!$B$23)*Допущения!$B$13*Допущения!$B$15+B347*Допущения!$B$14*Допущения!$B$16)/1000</f>
        <v>0.00536995090251596</v>
      </c>
      <c r="H347" s="17" t="n">
        <f aca="false">E347*Допущения!$B$27</f>
        <v>0</v>
      </c>
      <c r="I347" s="17" t="n">
        <f aca="false">F347*Допущения!$B$22/30*Допущения!$B$28</f>
        <v>0.000661078743434669</v>
      </c>
      <c r="J347" s="17" t="n">
        <f aca="false">G347*Допущения!$B$17+(H347+I347)*Допущения!$B$18</f>
        <v>0.00301551482297532</v>
      </c>
      <c r="K347" s="19" t="n">
        <f aca="false">K346+J347</f>
        <v>5.01095340323161</v>
      </c>
      <c r="L347" s="19" t="n">
        <f aca="false">L346+G347*Допущения!$B$17</f>
        <v>4.15693722420256</v>
      </c>
      <c r="M347" s="19" t="n">
        <f aca="false">M346+H347*Допущения!$B$18</f>
        <v>0.467499999999986</v>
      </c>
      <c r="N347" s="19" t="n">
        <f aca="false">N346+I347*Допущения!$B$18</f>
        <v>0.386516179029067</v>
      </c>
      <c r="O347" s="19" t="n">
        <f aca="false">O346+G347+H347+I347</f>
        <v>10.0219068064632</v>
      </c>
      <c r="P347" s="17" t="n">
        <f aca="false">P346+F347</f>
        <v>0.159593135631515</v>
      </c>
      <c r="Q347" s="6" t="n">
        <f aca="false">MIN(MATCH(A347,$S$3:$X$3,1),5)</f>
        <v>5</v>
      </c>
    </row>
    <row r="348" customFormat="false" ht="15" hidden="false" customHeight="false" outlineLevel="0" collapsed="false">
      <c r="A348" s="6" t="n">
        <v>341</v>
      </c>
      <c r="B348" s="14" t="n">
        <f aca="false">INDEX($S$4:$X$4,Q348)*(INDEX($S$4:$X$4,Q348+1)/INDEX($S$4:$X$4,Q348))^((LN(A348)-LN(INDEX($S$3:$X$3,Q348)))/(LN(INDEX($S$3:$X$3,Q348+1))-LN(INDEX($S$3:$X$3,Q348))))</f>
        <v>0.00543938999499911</v>
      </c>
      <c r="C348" s="33" t="n">
        <f aca="false">C347+B348</f>
        <v>8.45467033185209</v>
      </c>
      <c r="D348" s="36" t="n">
        <f aca="false">Допущения!$B$19*(1-EXP(-Допущения!$B$26*(A348+1)))</f>
        <v>0.01</v>
      </c>
      <c r="E348" s="37" t="n">
        <f aca="false">D348-D347</f>
        <v>0</v>
      </c>
      <c r="F348" s="37" t="n">
        <f aca="false">D348*MIN(1,B348*Допущения!$B$21)</f>
        <v>0.000135984749874978</v>
      </c>
      <c r="G348" s="17" t="n">
        <f aca="false">((B348-F348*Допущения!$B$23)*Допущения!$B$13*Допущения!$B$15+B348*Допущения!$B$14*Допущения!$B$16)/1000</f>
        <v>0.00535045596858087</v>
      </c>
      <c r="H348" s="17" t="n">
        <f aca="false">E348*Допущения!$B$27</f>
        <v>0</v>
      </c>
      <c r="I348" s="17" t="n">
        <f aca="false">F348*Допущения!$B$22/30*Допущения!$B$28</f>
        <v>0.000658678779885075</v>
      </c>
      <c r="J348" s="17" t="n">
        <f aca="false">G348*Допущения!$B$17+(H348+I348)*Допущения!$B$18</f>
        <v>0.00300456737423297</v>
      </c>
      <c r="K348" s="19" t="n">
        <f aca="false">K347+J348</f>
        <v>5.01395797060584</v>
      </c>
      <c r="L348" s="19" t="n">
        <f aca="false">L347+G348*Допущения!$B$17</f>
        <v>4.15961245218685</v>
      </c>
      <c r="M348" s="19" t="n">
        <f aca="false">M347+H348*Допущения!$B$18</f>
        <v>0.467499999999986</v>
      </c>
      <c r="N348" s="19" t="n">
        <f aca="false">N347+I348*Допущения!$B$18</f>
        <v>0.38684551841901</v>
      </c>
      <c r="O348" s="19" t="n">
        <f aca="false">O347+G348+H348+I348</f>
        <v>10.0279159412117</v>
      </c>
      <c r="P348" s="17" t="n">
        <f aca="false">P347+F348</f>
        <v>0.15972912038139</v>
      </c>
      <c r="Q348" s="6" t="n">
        <f aca="false">MIN(MATCH(A348,$S$3:$X$3,1),5)</f>
        <v>5</v>
      </c>
    </row>
    <row r="349" customFormat="false" ht="15" hidden="false" customHeight="false" outlineLevel="0" collapsed="false">
      <c r="A349" s="6" t="n">
        <v>342</v>
      </c>
      <c r="B349" s="14" t="n">
        <f aca="false">INDEX($S$4:$X$4,Q349)*(INDEX($S$4:$X$4,Q349+1)/INDEX($S$4:$X$4,Q349))^((LN(A349)-LN(INDEX($S$3:$X$3,Q349)))/(LN(INDEX($S$3:$X$3,Q349+1))-LN(INDEX($S$3:$X$3,Q349))))</f>
        <v>0.00541970069081404</v>
      </c>
      <c r="C349" s="33" t="n">
        <f aca="false">C348+B349</f>
        <v>8.4600900325429</v>
      </c>
      <c r="D349" s="36" t="n">
        <f aca="false">Допущения!$B$19*(1-EXP(-Допущения!$B$26*(A349+1)))</f>
        <v>0.01</v>
      </c>
      <c r="E349" s="37" t="n">
        <f aca="false">D349-D348</f>
        <v>0</v>
      </c>
      <c r="F349" s="37" t="n">
        <f aca="false">D349*MIN(1,B349*Допущения!$B$21)</f>
        <v>0.000135492517270351</v>
      </c>
      <c r="G349" s="17" t="n">
        <f aca="false">((B349-F349*Допущения!$B$23)*Допущения!$B$13*Допущения!$B$15+B349*Допущения!$B$14*Допущения!$B$16)/1000</f>
        <v>0.00533108858451923</v>
      </c>
      <c r="H349" s="17" t="n">
        <f aca="false">E349*Допущения!$B$27</f>
        <v>0</v>
      </c>
      <c r="I349" s="17" t="n">
        <f aca="false">F349*Допущения!$B$22/30*Допущения!$B$28</f>
        <v>0.000656294518622446</v>
      </c>
      <c r="J349" s="17" t="n">
        <f aca="false">G349*Допущения!$B$17+(H349+I349)*Допущения!$B$18</f>
        <v>0.00299369155157084</v>
      </c>
      <c r="K349" s="19" t="n">
        <f aca="false">K348+J349</f>
        <v>5.01695166215741</v>
      </c>
      <c r="L349" s="19" t="n">
        <f aca="false">L348+G349*Допущения!$B$17</f>
        <v>4.16227799647911</v>
      </c>
      <c r="M349" s="19" t="n">
        <f aca="false">M348+H349*Допущения!$B$18</f>
        <v>0.467499999999986</v>
      </c>
      <c r="N349" s="19" t="n">
        <f aca="false">N348+I349*Допущения!$B$18</f>
        <v>0.387173665678321</v>
      </c>
      <c r="O349" s="19" t="n">
        <f aca="false">O348+G349+H349+I349</f>
        <v>10.0339033243148</v>
      </c>
      <c r="P349" s="17" t="n">
        <f aca="false">P348+F349</f>
        <v>0.15986461289866</v>
      </c>
      <c r="Q349" s="6" t="n">
        <f aca="false">MIN(MATCH(A349,$S$3:$X$3,1),5)</f>
        <v>5</v>
      </c>
    </row>
    <row r="350" customFormat="false" ht="15" hidden="false" customHeight="false" outlineLevel="0" collapsed="false">
      <c r="A350" s="6" t="n">
        <v>343</v>
      </c>
      <c r="B350" s="14" t="n">
        <f aca="false">INDEX($S$4:$X$4,Q350)*(INDEX($S$4:$X$4,Q350+1)/INDEX($S$4:$X$4,Q350))^((LN(A350)-LN(INDEX($S$3:$X$3,Q350)))/(LN(INDEX($S$3:$X$3,Q350+1))-LN(INDEX($S$3:$X$3,Q350))))</f>
        <v>0.00540013983277007</v>
      </c>
      <c r="C350" s="33" t="n">
        <f aca="false">C349+B350</f>
        <v>8.46549017237567</v>
      </c>
      <c r="D350" s="36" t="n">
        <f aca="false">Допущения!$B$19*(1-EXP(-Допущения!$B$26*(A350+1)))</f>
        <v>0.01</v>
      </c>
      <c r="E350" s="37" t="n">
        <f aca="false">D350-D349</f>
        <v>0</v>
      </c>
      <c r="F350" s="37" t="n">
        <f aca="false">D350*MIN(1,B350*Допущения!$B$21)</f>
        <v>0.000135003495819252</v>
      </c>
      <c r="G350" s="17" t="n">
        <f aca="false">((B350-F350*Допущения!$B$23)*Допущения!$B$13*Допущения!$B$15+B350*Допущения!$B$14*Допущения!$B$16)/1000</f>
        <v>0.00531184754650428</v>
      </c>
      <c r="H350" s="17" t="n">
        <f aca="false">E350*Допущения!$B$27</f>
        <v>0</v>
      </c>
      <c r="I350" s="17" t="n">
        <f aca="false">F350*Допущения!$B$22/30*Допущения!$B$28</f>
        <v>0.000653925811447238</v>
      </c>
      <c r="J350" s="17" t="n">
        <f aca="false">G350*Допущения!$B$17+(H350+I350)*Допущения!$B$18</f>
        <v>0.00298288667897576</v>
      </c>
      <c r="K350" s="19" t="n">
        <f aca="false">K349+J350</f>
        <v>5.01993454883639</v>
      </c>
      <c r="L350" s="19" t="n">
        <f aca="false">L349+G350*Допущения!$B$17</f>
        <v>4.16493392025236</v>
      </c>
      <c r="M350" s="19" t="n">
        <f aca="false">M349+H350*Допущения!$B$18</f>
        <v>0.467499999999986</v>
      </c>
      <c r="N350" s="19" t="n">
        <f aca="false">N349+I350*Допущения!$B$18</f>
        <v>0.387500628584044</v>
      </c>
      <c r="O350" s="19" t="n">
        <f aca="false">O349+G350+H350+I350</f>
        <v>10.0398690976728</v>
      </c>
      <c r="P350" s="17" t="n">
        <f aca="false">P349+F350</f>
        <v>0.159999616394479</v>
      </c>
      <c r="Q350" s="6" t="n">
        <f aca="false">MIN(MATCH(A350,$S$3:$X$3,1),5)</f>
        <v>5</v>
      </c>
    </row>
    <row r="351" customFormat="false" ht="15" hidden="false" customHeight="false" outlineLevel="0" collapsed="false">
      <c r="A351" s="6" t="n">
        <v>344</v>
      </c>
      <c r="B351" s="14" t="n">
        <f aca="false">INDEX($S$4:$X$4,Q351)*(INDEX($S$4:$X$4,Q351+1)/INDEX($S$4:$X$4,Q351))^((LN(A351)-LN(INDEX($S$3:$X$3,Q351)))/(LN(INDEX($S$3:$X$3,Q351+1))-LN(INDEX($S$3:$X$3,Q351))))</f>
        <v>0.00538070621210428</v>
      </c>
      <c r="C351" s="33" t="n">
        <f aca="false">C350+B351</f>
        <v>8.47087087858778</v>
      </c>
      <c r="D351" s="36" t="n">
        <f aca="false">Допущения!$B$19*(1-EXP(-Допущения!$B$26*(A351+1)))</f>
        <v>0.01</v>
      </c>
      <c r="E351" s="37" t="n">
        <f aca="false">D351-D350</f>
        <v>0</v>
      </c>
      <c r="F351" s="37" t="n">
        <f aca="false">D351*MIN(1,B351*Допущения!$B$21)</f>
        <v>0.000134517655302607</v>
      </c>
      <c r="G351" s="17" t="n">
        <f aca="false">((B351-F351*Допущения!$B$23)*Допущения!$B$13*Допущения!$B$15+B351*Допущения!$B$14*Допущения!$B$16)/1000</f>
        <v>0.00529273166553638</v>
      </c>
      <c r="H351" s="17" t="n">
        <f aca="false">E351*Допущения!$B$27</f>
        <v>0</v>
      </c>
      <c r="I351" s="17" t="n">
        <f aca="false">F351*Допущения!$B$22/30*Допущения!$B$28</f>
        <v>0.000651572511985229</v>
      </c>
      <c r="J351" s="17" t="n">
        <f aca="false">G351*Допущения!$B$17+(H351+I351)*Допущения!$B$18</f>
        <v>0.0029721520887608</v>
      </c>
      <c r="K351" s="19" t="n">
        <f aca="false">K350+J351</f>
        <v>5.02290670092515</v>
      </c>
      <c r="L351" s="19" t="n">
        <f aca="false">L350+G351*Допущения!$B$17</f>
        <v>4.16758028608513</v>
      </c>
      <c r="M351" s="19" t="n">
        <f aca="false">M350+H351*Допущения!$B$18</f>
        <v>0.467499999999986</v>
      </c>
      <c r="N351" s="19" t="n">
        <f aca="false">N350+I351*Допущения!$B$18</f>
        <v>0.387826414840037</v>
      </c>
      <c r="O351" s="19" t="n">
        <f aca="false">O350+G351+H351+I351</f>
        <v>10.0458134018503</v>
      </c>
      <c r="P351" s="17" t="n">
        <f aca="false">P350+F351</f>
        <v>0.160134134049782</v>
      </c>
      <c r="Q351" s="6" t="n">
        <f aca="false">MIN(MATCH(A351,$S$3:$X$3,1),5)</f>
        <v>5</v>
      </c>
    </row>
    <row r="352" customFormat="false" ht="15" hidden="false" customHeight="false" outlineLevel="0" collapsed="false">
      <c r="A352" s="6" t="n">
        <v>345</v>
      </c>
      <c r="B352" s="14" t="n">
        <f aca="false">INDEX($S$4:$X$4,Q352)*(INDEX($S$4:$X$4,Q352+1)/INDEX($S$4:$X$4,Q352))^((LN(A352)-LN(INDEX($S$3:$X$3,Q352)))/(LN(INDEX($S$3:$X$3,Q352+1))-LN(INDEX($S$3:$X$3,Q352))))</f>
        <v>0.00536139863489848</v>
      </c>
      <c r="C352" s="33" t="n">
        <f aca="false">C351+B352</f>
        <v>8.47623227722268</v>
      </c>
      <c r="D352" s="36" t="n">
        <f aca="false">Допущения!$B$19*(1-EXP(-Допущения!$B$26*(A352+1)))</f>
        <v>0.01</v>
      </c>
      <c r="E352" s="37" t="n">
        <f aca="false">D352-D351</f>
        <v>0</v>
      </c>
      <c r="F352" s="37" t="n">
        <f aca="false">D352*MIN(1,B352*Допущения!$B$21)</f>
        <v>0.000134034965872462</v>
      </c>
      <c r="G352" s="17" t="n">
        <f aca="false">((B352-F352*Допущения!$B$23)*Допущения!$B$13*Допущения!$B$15+B352*Допущения!$B$14*Допущения!$B$16)/1000</f>
        <v>0.00527373976721789</v>
      </c>
      <c r="H352" s="17" t="n">
        <f aca="false">E352*Допущения!$B$27</f>
        <v>0</v>
      </c>
      <c r="I352" s="17" t="n">
        <f aca="false">F352*Допущения!$B$22/30*Допущения!$B$28</f>
        <v>0.000649234475659806</v>
      </c>
      <c r="J352" s="17" t="n">
        <f aca="false">G352*Допущения!$B$17+(H352+I352)*Допущения!$B$18</f>
        <v>0.00296148712143885</v>
      </c>
      <c r="K352" s="19" t="n">
        <f aca="false">K351+J352</f>
        <v>5.02586818804659</v>
      </c>
      <c r="L352" s="19" t="n">
        <f aca="false">L351+G352*Допущения!$B$17</f>
        <v>4.17021715596874</v>
      </c>
      <c r="M352" s="19" t="n">
        <f aca="false">M351+H352*Допущения!$B$18</f>
        <v>0.467499999999986</v>
      </c>
      <c r="N352" s="19" t="n">
        <f aca="false">N351+I352*Допущения!$B$18</f>
        <v>0.388151032077867</v>
      </c>
      <c r="O352" s="19" t="n">
        <f aca="false">O351+G352+H352+I352</f>
        <v>10.0517363760932</v>
      </c>
      <c r="P352" s="17" t="n">
        <f aca="false">P351+F352</f>
        <v>0.160268169015655</v>
      </c>
      <c r="Q352" s="6" t="n">
        <f aca="false">MIN(MATCH(A352,$S$3:$X$3,1),5)</f>
        <v>5</v>
      </c>
    </row>
    <row r="353" customFormat="false" ht="15" hidden="false" customHeight="false" outlineLevel="0" collapsed="false">
      <c r="A353" s="6" t="n">
        <v>346</v>
      </c>
      <c r="B353" s="14" t="n">
        <f aca="false">INDEX($S$4:$X$4,Q353)*(INDEX($S$4:$X$4,Q353+1)/INDEX($S$4:$X$4,Q353))^((LN(A353)-LN(INDEX($S$3:$X$3,Q353)))/(LN(INDEX($S$3:$X$3,Q353+1))-LN(INDEX($S$3:$X$3,Q353))))</f>
        <v>0.00534221592185457</v>
      </c>
      <c r="C353" s="33" t="n">
        <f aca="false">C352+B353</f>
        <v>8.48157449314453</v>
      </c>
      <c r="D353" s="36" t="n">
        <f aca="false">Допущения!$B$19*(1-EXP(-Допущения!$B$26*(A353+1)))</f>
        <v>0.01</v>
      </c>
      <c r="E353" s="37" t="n">
        <f aca="false">D353-D352</f>
        <v>0</v>
      </c>
      <c r="F353" s="37" t="n">
        <f aca="false">D353*MIN(1,B353*Допущения!$B$21)</f>
        <v>0.000133555398046364</v>
      </c>
      <c r="G353" s="17" t="n">
        <f aca="false">((B353-F353*Допущения!$B$23)*Допущения!$B$13*Допущения!$B$15+B353*Допущения!$B$14*Допущения!$B$16)/1000</f>
        <v>0.00525487069153225</v>
      </c>
      <c r="H353" s="17" t="n">
        <f aca="false">E353*Допущения!$B$27</f>
        <v>0</v>
      </c>
      <c r="I353" s="17" t="n">
        <f aca="false">F353*Допущения!$B$22/30*Допущения!$B$28</f>
        <v>0.000646911559664764</v>
      </c>
      <c r="J353" s="17" t="n">
        <f aca="false">G353*Допущения!$B$17+(H353+I353)*Допущения!$B$18</f>
        <v>0.0029508911255985</v>
      </c>
      <c r="K353" s="19" t="n">
        <f aca="false">K352+J353</f>
        <v>5.02881907917218</v>
      </c>
      <c r="L353" s="19" t="n">
        <f aca="false">L352+G353*Допущения!$B$17</f>
        <v>4.17284459131451</v>
      </c>
      <c r="M353" s="19" t="n">
        <f aca="false">M352+H353*Допущения!$B$18</f>
        <v>0.467499999999986</v>
      </c>
      <c r="N353" s="19" t="n">
        <f aca="false">N352+I353*Допущения!$B$18</f>
        <v>0.388474487857699</v>
      </c>
      <c r="O353" s="19" t="n">
        <f aca="false">O352+G353+H353+I353</f>
        <v>10.0576381583444</v>
      </c>
      <c r="P353" s="17" t="n">
        <f aca="false">P352+F353</f>
        <v>0.160401724413701</v>
      </c>
      <c r="Q353" s="6" t="n">
        <f aca="false">MIN(MATCH(A353,$S$3:$X$3,1),5)</f>
        <v>5</v>
      </c>
    </row>
    <row r="354" customFormat="false" ht="15" hidden="false" customHeight="false" outlineLevel="0" collapsed="false">
      <c r="A354" s="6" t="n">
        <v>347</v>
      </c>
      <c r="B354" s="14" t="n">
        <f aca="false">INDEX($S$4:$X$4,Q354)*(INDEX($S$4:$X$4,Q354+1)/INDEX($S$4:$X$4,Q354))^((LN(A354)-LN(INDEX($S$3:$X$3,Q354)))/(LN(INDEX($S$3:$X$3,Q354+1))-LN(INDEX($S$3:$X$3,Q354))))</f>
        <v>0.00532315690807386</v>
      </c>
      <c r="C354" s="33" t="n">
        <f aca="false">C353+B354</f>
        <v>8.48689765005261</v>
      </c>
      <c r="D354" s="36" t="n">
        <f aca="false">Допущения!$B$19*(1-EXP(-Допущения!$B$26*(A354+1)))</f>
        <v>0.01</v>
      </c>
      <c r="E354" s="37" t="n">
        <f aca="false">D354-D353</f>
        <v>0</v>
      </c>
      <c r="F354" s="37" t="n">
        <f aca="false">D354*MIN(1,B354*Допущения!$B$21)</f>
        <v>0.000133078922701846</v>
      </c>
      <c r="G354" s="17" t="n">
        <f aca="false">((B354-F354*Допущения!$B$23)*Допущения!$B$13*Допущения!$B$15+B354*Допущения!$B$14*Допущения!$B$16)/1000</f>
        <v>0.00523612329262685</v>
      </c>
      <c r="H354" s="17" t="n">
        <f aca="false">E354*Допущения!$B$27</f>
        <v>0</v>
      </c>
      <c r="I354" s="17" t="n">
        <f aca="false">F354*Допущения!$B$22/30*Допущения!$B$28</f>
        <v>0.000644603622937588</v>
      </c>
      <c r="J354" s="17" t="n">
        <f aca="false">G354*Допущения!$B$17+(H354+I354)*Допущения!$B$18</f>
        <v>0.00294036345778222</v>
      </c>
      <c r="K354" s="19" t="n">
        <f aca="false">K353+J354</f>
        <v>5.03175944262997</v>
      </c>
      <c r="L354" s="19" t="n">
        <f aca="false">L353+G354*Допущения!$B$17</f>
        <v>4.17546265296082</v>
      </c>
      <c r="M354" s="19" t="n">
        <f aca="false">M353+H354*Допущения!$B$18</f>
        <v>0.467499999999986</v>
      </c>
      <c r="N354" s="19" t="n">
        <f aca="false">N353+I354*Допущения!$B$18</f>
        <v>0.388796789669168</v>
      </c>
      <c r="O354" s="19" t="n">
        <f aca="false">O353+G354+H354+I354</f>
        <v>10.0635188852599</v>
      </c>
      <c r="P354" s="17" t="n">
        <f aca="false">P353+F354</f>
        <v>0.160534803336403</v>
      </c>
      <c r="Q354" s="6" t="n">
        <f aca="false">MIN(MATCH(A354,$S$3:$X$3,1),5)</f>
        <v>5</v>
      </c>
    </row>
    <row r="355" customFormat="false" ht="15" hidden="false" customHeight="false" outlineLevel="0" collapsed="false">
      <c r="A355" s="6" t="n">
        <v>348</v>
      </c>
      <c r="B355" s="14" t="n">
        <f aca="false">INDEX($S$4:$X$4,Q355)*(INDEX($S$4:$X$4,Q355+1)/INDEX($S$4:$X$4,Q355))^((LN(A355)-LN(INDEX($S$3:$X$3,Q355)))/(LN(INDEX($S$3:$X$3,Q355+1))-LN(INDEX($S$3:$X$3,Q355))))</f>
        <v>0.00530422044284043</v>
      </c>
      <c r="C355" s="33" t="n">
        <f aca="false">C354+B355</f>
        <v>8.49220187049545</v>
      </c>
      <c r="D355" s="36" t="n">
        <f aca="false">Допущения!$B$19*(1-EXP(-Допущения!$B$26*(A355+1)))</f>
        <v>0.01</v>
      </c>
      <c r="E355" s="37" t="n">
        <f aca="false">D355-D354</f>
        <v>0</v>
      </c>
      <c r="F355" s="37" t="n">
        <f aca="false">D355*MIN(1,B355*Допущения!$B$21)</f>
        <v>0.000132605511071011</v>
      </c>
      <c r="G355" s="17" t="n">
        <f aca="false">((B355-F355*Допущения!$B$23)*Допущения!$B$13*Допущения!$B$15+B355*Допущения!$B$14*Допущения!$B$16)/1000</f>
        <v>0.00521749643859999</v>
      </c>
      <c r="H355" s="17" t="n">
        <f aca="false">E355*Допущения!$B$27</f>
        <v>0</v>
      </c>
      <c r="I355" s="17" t="n">
        <f aca="false">F355*Допущения!$B$22/30*Допущения!$B$28</f>
        <v>0.000642310526133212</v>
      </c>
      <c r="J355" s="17" t="n">
        <f aca="false">G355*Допущения!$B$17+(H355+I355)*Допущения!$B$18</f>
        <v>0.0029299034823666</v>
      </c>
      <c r="K355" s="19" t="n">
        <f aca="false">K354+J355</f>
        <v>5.03468934611233</v>
      </c>
      <c r="L355" s="19" t="n">
        <f aca="false">L354+G355*Допущения!$B$17</f>
        <v>4.17807140118012</v>
      </c>
      <c r="M355" s="19" t="n">
        <f aca="false">M354+H355*Допущения!$B$18</f>
        <v>0.467499999999986</v>
      </c>
      <c r="N355" s="19" t="n">
        <f aca="false">N354+I355*Допущения!$B$18</f>
        <v>0.389117944932235</v>
      </c>
      <c r="O355" s="19" t="n">
        <f aca="false">O354+G355+H355+I355</f>
        <v>10.0693786922247</v>
      </c>
      <c r="P355" s="17" t="n">
        <f aca="false">P354+F355</f>
        <v>0.160667408847474</v>
      </c>
      <c r="Q355" s="6" t="n">
        <f aca="false">MIN(MATCH(A355,$S$3:$X$3,1),5)</f>
        <v>5</v>
      </c>
    </row>
    <row r="356" customFormat="false" ht="15" hidden="false" customHeight="false" outlineLevel="0" collapsed="false">
      <c r="A356" s="6" t="n">
        <v>349</v>
      </c>
      <c r="B356" s="14" t="n">
        <f aca="false">INDEX($S$4:$X$4,Q356)*(INDEX($S$4:$X$4,Q356+1)/INDEX($S$4:$X$4,Q356))^((LN(A356)-LN(INDEX($S$3:$X$3,Q356)))/(LN(INDEX($S$3:$X$3,Q356+1))-LN(INDEX($S$3:$X$3,Q356))))</f>
        <v>0.00528540538940834</v>
      </c>
      <c r="C356" s="33" t="n">
        <f aca="false">C355+B356</f>
        <v>8.49748727588485</v>
      </c>
      <c r="D356" s="36" t="n">
        <f aca="false">Допущения!$B$19*(1-EXP(-Допущения!$B$26*(A356+1)))</f>
        <v>0.01</v>
      </c>
      <c r="E356" s="37" t="n">
        <f aca="false">D356-D355</f>
        <v>0</v>
      </c>
      <c r="F356" s="37" t="n">
        <f aca="false">D356*MIN(1,B356*Допущения!$B$21)</f>
        <v>0.000132135134735208</v>
      </c>
      <c r="G356" s="17" t="n">
        <f aca="false">((B356-F356*Допущения!$B$23)*Допущения!$B$13*Допущения!$B$15+B356*Допущения!$B$14*Допущения!$B$16)/1000</f>
        <v>0.00519898901129151</v>
      </c>
      <c r="H356" s="17" t="n">
        <f aca="false">E356*Допущения!$B$27</f>
        <v>0</v>
      </c>
      <c r="I356" s="17" t="n">
        <f aca="false">F356*Допущения!$B$22/30*Допущения!$B$28</f>
        <v>0.000640032131598252</v>
      </c>
      <c r="J356" s="17" t="n">
        <f aca="false">G356*Допущения!$B$17+(H356+I356)*Допущения!$B$18</f>
        <v>0.00291951057144488</v>
      </c>
      <c r="K356" s="19" t="n">
        <f aca="false">K355+J356</f>
        <v>5.03760885668378</v>
      </c>
      <c r="L356" s="19" t="n">
        <f aca="false">L355+G356*Допущения!$B$17</f>
        <v>4.18067089568577</v>
      </c>
      <c r="M356" s="19" t="n">
        <f aca="false">M355+H356*Допущения!$B$18</f>
        <v>0.467499999999986</v>
      </c>
      <c r="N356" s="19" t="n">
        <f aca="false">N355+I356*Допущения!$B$18</f>
        <v>0.389437960998034</v>
      </c>
      <c r="O356" s="19" t="n">
        <f aca="false">O355+G356+H356+I356</f>
        <v>10.0752177133676</v>
      </c>
      <c r="P356" s="17" t="n">
        <f aca="false">P355+F356</f>
        <v>0.160799543982209</v>
      </c>
      <c r="Q356" s="6" t="n">
        <f aca="false">MIN(MATCH(A356,$S$3:$X$3,1),5)</f>
        <v>5</v>
      </c>
    </row>
    <row r="357" customFormat="false" ht="15" hidden="false" customHeight="false" outlineLevel="0" collapsed="false">
      <c r="A357" s="6" t="n">
        <v>350</v>
      </c>
      <c r="B357" s="14" t="n">
        <f aca="false">INDEX($S$4:$X$4,Q357)*(INDEX($S$4:$X$4,Q357+1)/INDEX($S$4:$X$4,Q357))^((LN(A357)-LN(INDEX($S$3:$X$3,Q357)))/(LN(INDEX($S$3:$X$3,Q357+1))-LN(INDEX($S$3:$X$3,Q357))))</f>
        <v>0.00526671062479257</v>
      </c>
      <c r="C357" s="33" t="n">
        <f aca="false">C356+B357</f>
        <v>8.50275398650965</v>
      </c>
      <c r="D357" s="36" t="n">
        <f aca="false">Допущения!$B$19*(1-EXP(-Допущения!$B$26*(A357+1)))</f>
        <v>0.01</v>
      </c>
      <c r="E357" s="37" t="n">
        <f aca="false">D357-D356</f>
        <v>0</v>
      </c>
      <c r="F357" s="37" t="n">
        <f aca="false">D357*MIN(1,B357*Допущения!$B$21)</f>
        <v>0.000131667765619814</v>
      </c>
      <c r="G357" s="17" t="n">
        <f aca="false">((B357-F357*Допущения!$B$23)*Допущения!$B$13*Допущения!$B$15+B357*Допущения!$B$14*Допущения!$B$16)/1000</f>
        <v>0.00518059990607721</v>
      </c>
      <c r="H357" s="17" t="n">
        <f aca="false">E357*Допущения!$B$27</f>
        <v>0</v>
      </c>
      <c r="I357" s="17" t="n">
        <f aca="false">F357*Допущения!$B$22/30*Допущения!$B$28</f>
        <v>0.000637768303345695</v>
      </c>
      <c r="J357" s="17" t="n">
        <f aca="false">G357*Допущения!$B$17+(H357+I357)*Допущения!$B$18</f>
        <v>0.00290918410471145</v>
      </c>
      <c r="K357" s="19" t="n">
        <f aca="false">K356+J357</f>
        <v>5.04051804078849</v>
      </c>
      <c r="L357" s="19" t="n">
        <f aca="false">L356+G357*Допущения!$B$17</f>
        <v>4.18326119563881</v>
      </c>
      <c r="M357" s="19" t="n">
        <f aca="false">M356+H357*Допущения!$B$18</f>
        <v>0.467499999999986</v>
      </c>
      <c r="N357" s="19" t="n">
        <f aca="false">N356+I357*Допущения!$B$18</f>
        <v>0.389756845149707</v>
      </c>
      <c r="O357" s="19" t="n">
        <f aca="false">O356+G357+H357+I357</f>
        <v>10.081036081577</v>
      </c>
      <c r="P357" s="17" t="n">
        <f aca="false">P356+F357</f>
        <v>0.160931211747829</v>
      </c>
      <c r="Q357" s="6" t="n">
        <f aca="false">MIN(MATCH(A357,$S$3:$X$3,1),5)</f>
        <v>5</v>
      </c>
    </row>
    <row r="358" customFormat="false" ht="15" hidden="false" customHeight="false" outlineLevel="0" collapsed="false">
      <c r="A358" s="6" t="n">
        <v>351</v>
      </c>
      <c r="B358" s="14" t="n">
        <f aca="false">INDEX($S$4:$X$4,Q358)*(INDEX($S$4:$X$4,Q358+1)/INDEX($S$4:$X$4,Q358))^((LN(A358)-LN(INDEX($S$3:$X$3,Q358)))/(LN(INDEX($S$3:$X$3,Q358+1))-LN(INDEX($S$3:$X$3,Q358))))</f>
        <v>0.00524813503956373</v>
      </c>
      <c r="C358" s="33" t="n">
        <f aca="false">C357+B358</f>
        <v>8.50800212154921</v>
      </c>
      <c r="D358" s="36" t="n">
        <f aca="false">Допущения!$B$19*(1-EXP(-Допущения!$B$26*(A358+1)))</f>
        <v>0.01</v>
      </c>
      <c r="E358" s="37" t="n">
        <f aca="false">D358-D357</f>
        <v>0</v>
      </c>
      <c r="F358" s="37" t="n">
        <f aca="false">D358*MIN(1,B358*Допущения!$B$21)</f>
        <v>0.000131203375989093</v>
      </c>
      <c r="G358" s="17" t="n">
        <f aca="false">((B358-F358*Допущения!$B$23)*Допущения!$B$13*Допущения!$B$15+B358*Допущения!$B$14*Допущения!$B$16)/1000</f>
        <v>0.00516232803166687</v>
      </c>
      <c r="H358" s="17" t="n">
        <f aca="false">E358*Допущения!$B$27</f>
        <v>0</v>
      </c>
      <c r="I358" s="17" t="n">
        <f aca="false">F358*Допущения!$B$22/30*Допущения!$B$28</f>
        <v>0.000635518907030037</v>
      </c>
      <c r="J358" s="17" t="n">
        <f aca="false">G358*Допущения!$B$17+(H358+I358)*Допущения!$B$18</f>
        <v>0.00289892346934845</v>
      </c>
      <c r="K358" s="19" t="n">
        <f aca="false">K357+J358</f>
        <v>5.04341696425784</v>
      </c>
      <c r="L358" s="19" t="n">
        <f aca="false">L357+G358*Допущения!$B$17</f>
        <v>4.18584235965464</v>
      </c>
      <c r="M358" s="19" t="n">
        <f aca="false">M357+H358*Допущения!$B$18</f>
        <v>0.467499999999986</v>
      </c>
      <c r="N358" s="19" t="n">
        <f aca="false">N357+I358*Допущения!$B$18</f>
        <v>0.390074604603222</v>
      </c>
      <c r="O358" s="19" t="n">
        <f aca="false">O357+G358+H358+I358</f>
        <v>10.0868339285157</v>
      </c>
      <c r="P358" s="17" t="n">
        <f aca="false">P357+F358</f>
        <v>0.161062415123818</v>
      </c>
      <c r="Q358" s="6" t="n">
        <f aca="false">MIN(MATCH(A358,$S$3:$X$3,1),5)</f>
        <v>5</v>
      </c>
    </row>
    <row r="359" customFormat="false" ht="15" hidden="false" customHeight="false" outlineLevel="0" collapsed="false">
      <c r="A359" s="6" t="n">
        <v>352</v>
      </c>
      <c r="B359" s="14" t="n">
        <f aca="false">INDEX($S$4:$X$4,Q359)*(INDEX($S$4:$X$4,Q359+1)/INDEX($S$4:$X$4,Q359))^((LN(A359)-LN(INDEX($S$3:$X$3,Q359)))/(LN(INDEX($S$3:$X$3,Q359+1))-LN(INDEX($S$3:$X$3,Q359))))</f>
        <v>0.00522967753764644</v>
      </c>
      <c r="C359" s="33" t="n">
        <f aca="false">C358+B359</f>
        <v>8.51323179908686</v>
      </c>
      <c r="D359" s="36" t="n">
        <f aca="false">Допущения!$B$19*(1-EXP(-Допущения!$B$26*(A359+1)))</f>
        <v>0.01</v>
      </c>
      <c r="E359" s="37" t="n">
        <f aca="false">D359-D358</f>
        <v>0</v>
      </c>
      <c r="F359" s="37" t="n">
        <f aca="false">D359*MIN(1,B359*Допущения!$B$21)</f>
        <v>0.000130741938441161</v>
      </c>
      <c r="G359" s="17" t="n">
        <f aca="false">((B359-F359*Допущения!$B$23)*Допущения!$B$13*Допущения!$B$15+B359*Допущения!$B$14*Допущения!$B$16)/1000</f>
        <v>0.00514417230990592</v>
      </c>
      <c r="H359" s="17" t="n">
        <f aca="false">E359*Допущения!$B$27</f>
        <v>0</v>
      </c>
      <c r="I359" s="17" t="n">
        <f aca="false">F359*Допущения!$B$22/30*Допущения!$B$28</f>
        <v>0.000633283809922864</v>
      </c>
      <c r="J359" s="17" t="n">
        <f aca="false">G359*Допущения!$B$17+(H359+I359)*Допущения!$B$18</f>
        <v>0.00288872805991439</v>
      </c>
      <c r="K359" s="19" t="n">
        <f aca="false">K358+J359</f>
        <v>5.04630569231775</v>
      </c>
      <c r="L359" s="19" t="n">
        <f aca="false">L358+G359*Допущения!$B$17</f>
        <v>4.18841444580959</v>
      </c>
      <c r="M359" s="19" t="n">
        <f aca="false">M358+H359*Допущения!$B$18</f>
        <v>0.467499999999986</v>
      </c>
      <c r="N359" s="19" t="n">
        <f aca="false">N358+I359*Допущения!$B$18</f>
        <v>0.390391246508183</v>
      </c>
      <c r="O359" s="19" t="n">
        <f aca="false">O358+G359+H359+I359</f>
        <v>10.0926113846355</v>
      </c>
      <c r="P359" s="17" t="n">
        <f aca="false">P358+F359</f>
        <v>0.161193157062259</v>
      </c>
      <c r="Q359" s="6" t="n">
        <f aca="false">MIN(MATCH(A359,$S$3:$X$3,1),5)</f>
        <v>5</v>
      </c>
    </row>
    <row r="360" customFormat="false" ht="15" hidden="false" customHeight="false" outlineLevel="0" collapsed="false">
      <c r="A360" s="6" t="n">
        <v>353</v>
      </c>
      <c r="B360" s="14" t="n">
        <f aca="false">INDEX($S$4:$X$4,Q360)*(INDEX($S$4:$X$4,Q360+1)/INDEX($S$4:$X$4,Q360))^((LN(A360)-LN(INDEX($S$3:$X$3,Q360)))/(LN(INDEX($S$3:$X$3,Q360+1))-LN(INDEX($S$3:$X$3,Q360))))</f>
        <v>0.00521133703612117</v>
      </c>
      <c r="C360" s="33" t="n">
        <f aca="false">C359+B360</f>
        <v>8.51844313612298</v>
      </c>
      <c r="D360" s="36" t="n">
        <f aca="false">Допущения!$B$19*(1-EXP(-Допущения!$B$26*(A360+1)))</f>
        <v>0.01</v>
      </c>
      <c r="E360" s="37" t="n">
        <f aca="false">D360-D359</f>
        <v>0</v>
      </c>
      <c r="F360" s="37" t="n">
        <f aca="false">D360*MIN(1,B360*Допущения!$B$21)</f>
        <v>0.000130283425903029</v>
      </c>
      <c r="G360" s="17" t="n">
        <f aca="false">((B360-F360*Допущения!$B$23)*Допущения!$B$13*Допущения!$B$15+B360*Допущения!$B$14*Допущения!$B$16)/1000</f>
        <v>0.00512613167558059</v>
      </c>
      <c r="H360" s="17" t="n">
        <f aca="false">E360*Допущения!$B$27</f>
        <v>0</v>
      </c>
      <c r="I360" s="17" t="n">
        <f aca="false">F360*Допущения!$B$22/30*Допущения!$B$28</f>
        <v>0.000631062880888863</v>
      </c>
      <c r="J360" s="17" t="n">
        <f aca="false">G360*Допущения!$B$17+(H360+I360)*Допущения!$B$18</f>
        <v>0.00287859727823473</v>
      </c>
      <c r="K360" s="19" t="n">
        <f aca="false">K359+J360</f>
        <v>5.04918428959599</v>
      </c>
      <c r="L360" s="19" t="n">
        <f aca="false">L359+G360*Допущения!$B$17</f>
        <v>4.19097751164738</v>
      </c>
      <c r="M360" s="19" t="n">
        <f aca="false">M359+H360*Допущения!$B$18</f>
        <v>0.467499999999986</v>
      </c>
      <c r="N360" s="19" t="n">
        <f aca="false">N359+I360*Допущения!$B$18</f>
        <v>0.390706777948628</v>
      </c>
      <c r="O360" s="19" t="n">
        <f aca="false">O359+G360+H360+I360</f>
        <v>10.098368579192</v>
      </c>
      <c r="P360" s="17" t="n">
        <f aca="false">P359+F360</f>
        <v>0.161323440488162</v>
      </c>
      <c r="Q360" s="6" t="n">
        <f aca="false">MIN(MATCH(A360,$S$3:$X$3,1),5)</f>
        <v>5</v>
      </c>
    </row>
    <row r="361" customFormat="false" ht="15" hidden="false" customHeight="false" outlineLevel="0" collapsed="false">
      <c r="A361" s="6" t="n">
        <v>354</v>
      </c>
      <c r="B361" s="14" t="n">
        <f aca="false">INDEX($S$4:$X$4,Q361)*(INDEX($S$4:$X$4,Q361+1)/INDEX($S$4:$X$4,Q361))^((LN(A361)-LN(INDEX($S$3:$X$3,Q361)))/(LN(INDEX($S$3:$X$3,Q361+1))-LN(INDEX($S$3:$X$3,Q361))))</f>
        <v>0.00519311246502967</v>
      </c>
      <c r="C361" s="33" t="n">
        <f aca="false">C360+B361</f>
        <v>8.52363624858801</v>
      </c>
      <c r="D361" s="36" t="n">
        <f aca="false">Допущения!$B$19*(1-EXP(-Допущения!$B$26*(A361+1)))</f>
        <v>0.01</v>
      </c>
      <c r="E361" s="37" t="n">
        <f aca="false">D361-D360</f>
        <v>0</v>
      </c>
      <c r="F361" s="37" t="n">
        <f aca="false">D361*MIN(1,B361*Допущения!$B$21)</f>
        <v>0.000129827811625742</v>
      </c>
      <c r="G361" s="17" t="n">
        <f aca="false">((B361-F361*Допущения!$B$23)*Допущения!$B$13*Допущения!$B$15+B361*Допущения!$B$14*Допущения!$B$16)/1000</f>
        <v>0.00510820507622643</v>
      </c>
      <c r="H361" s="17" t="n">
        <f aca="false">E361*Допущения!$B$27</f>
        <v>0</v>
      </c>
      <c r="I361" s="17" t="n">
        <f aca="false">F361*Допущения!$B$22/30*Допущения!$B$28</f>
        <v>0.000628855990362257</v>
      </c>
      <c r="J361" s="17" t="n">
        <f aca="false">G361*Допущения!$B$17+(H361+I361)*Допущения!$B$18</f>
        <v>0.00286853053329434</v>
      </c>
      <c r="K361" s="19" t="n">
        <f aca="false">K360+J361</f>
        <v>5.05205282012928</v>
      </c>
      <c r="L361" s="19" t="n">
        <f aca="false">L360+G361*Допущения!$B$17</f>
        <v>4.1935316141855</v>
      </c>
      <c r="M361" s="19" t="n">
        <f aca="false">M360+H361*Допущения!$B$18</f>
        <v>0.467499999999986</v>
      </c>
      <c r="N361" s="19" t="n">
        <f aca="false">N360+I361*Допущения!$B$18</f>
        <v>0.391021205943809</v>
      </c>
      <c r="O361" s="19" t="n">
        <f aca="false">O360+G361+H361+I361</f>
        <v>10.1041056402586</v>
      </c>
      <c r="P361" s="17" t="n">
        <f aca="false">P360+F361</f>
        <v>0.161453268299788</v>
      </c>
      <c r="Q361" s="6" t="n">
        <f aca="false">MIN(MATCH(A361,$S$3:$X$3,1),5)</f>
        <v>5</v>
      </c>
    </row>
    <row r="362" customFormat="false" ht="15" hidden="false" customHeight="false" outlineLevel="0" collapsed="false">
      <c r="A362" s="6" t="n">
        <v>355</v>
      </c>
      <c r="B362" s="14" t="n">
        <f aca="false">INDEX($S$4:$X$4,Q362)*(INDEX($S$4:$X$4,Q362+1)/INDEX($S$4:$X$4,Q362))^((LN(A362)-LN(INDEX($S$3:$X$3,Q362)))/(LN(INDEX($S$3:$X$3,Q362+1))-LN(INDEX($S$3:$X$3,Q362))))</f>
        <v>0.00517500276718373</v>
      </c>
      <c r="C362" s="33" t="n">
        <f aca="false">C361+B362</f>
        <v>8.52881125135519</v>
      </c>
      <c r="D362" s="36" t="n">
        <f aca="false">Допущения!$B$19*(1-EXP(-Допущения!$B$26*(A362+1)))</f>
        <v>0.01</v>
      </c>
      <c r="E362" s="37" t="n">
        <f aca="false">D362-D361</f>
        <v>0</v>
      </c>
      <c r="F362" s="37" t="n">
        <f aca="false">D362*MIN(1,B362*Допущения!$B$21)</f>
        <v>0.000129375069179593</v>
      </c>
      <c r="G362" s="17" t="n">
        <f aca="false">((B362-F362*Допущения!$B$23)*Допущения!$B$13*Допущения!$B$15+B362*Допущения!$B$14*Допущения!$B$16)/1000</f>
        <v>0.00509039147194028</v>
      </c>
      <c r="H362" s="17" t="n">
        <f aca="false">E362*Допущения!$B$27</f>
        <v>0</v>
      </c>
      <c r="I362" s="17" t="n">
        <f aca="false">F362*Допущения!$B$22/30*Допущения!$B$28</f>
        <v>0.000626663010323646</v>
      </c>
      <c r="J362" s="17" t="n">
        <f aca="false">G362*Допущения!$B$17+(H362+I362)*Допущения!$B$18</f>
        <v>0.00285852724113196</v>
      </c>
      <c r="K362" s="19" t="n">
        <f aca="false">K361+J362</f>
        <v>5.05491134737041</v>
      </c>
      <c r="L362" s="19" t="n">
        <f aca="false">L361+G362*Допущения!$B$17</f>
        <v>4.19607680992147</v>
      </c>
      <c r="M362" s="19" t="n">
        <f aca="false">M361+H362*Допущения!$B$18</f>
        <v>0.467499999999986</v>
      </c>
      <c r="N362" s="19" t="n">
        <f aca="false">N361+I362*Допущения!$B$18</f>
        <v>0.39133453744897</v>
      </c>
      <c r="O362" s="19" t="n">
        <f aca="false">O361+G362+H362+I362</f>
        <v>10.1098226947408</v>
      </c>
      <c r="P362" s="17" t="n">
        <f aca="false">P361+F362</f>
        <v>0.161582643368967</v>
      </c>
      <c r="Q362" s="6" t="n">
        <f aca="false">MIN(MATCH(A362,$S$3:$X$3,1),5)</f>
        <v>5</v>
      </c>
    </row>
    <row r="363" customFormat="false" ht="15" hidden="false" customHeight="false" outlineLevel="0" collapsed="false">
      <c r="A363" s="6" t="n">
        <v>356</v>
      </c>
      <c r="B363" s="14" t="n">
        <f aca="false">INDEX($S$4:$X$4,Q363)*(INDEX($S$4:$X$4,Q363+1)/INDEX($S$4:$X$4,Q363))^((LN(A363)-LN(INDEX($S$3:$X$3,Q363)))/(LN(INDEX($S$3:$X$3,Q363+1))-LN(INDEX($S$3:$X$3,Q363))))</f>
        <v>0.00515700689797741</v>
      </c>
      <c r="C363" s="33" t="n">
        <f aca="false">C362+B363</f>
        <v>8.53396825825317</v>
      </c>
      <c r="D363" s="36" t="n">
        <f aca="false">Допущения!$B$19*(1-EXP(-Допущения!$B$26*(A363+1)))</f>
        <v>0.01</v>
      </c>
      <c r="E363" s="37" t="n">
        <f aca="false">D363-D362</f>
        <v>0</v>
      </c>
      <c r="F363" s="37" t="n">
        <f aca="false">D363*MIN(1,B363*Допущения!$B$21)</f>
        <v>0.000128925172449435</v>
      </c>
      <c r="G363" s="17" t="n">
        <f aca="false">((B363-F363*Допущения!$B$23)*Допущения!$B$13*Допущения!$B$15+B363*Допущения!$B$14*Допущения!$B$16)/1000</f>
        <v>0.00507268983519548</v>
      </c>
      <c r="H363" s="17" t="n">
        <f aca="false">E363*Допущения!$B$27</f>
        <v>0</v>
      </c>
      <c r="I363" s="17" t="n">
        <f aca="false">F363*Допущения!$B$22/30*Допущения!$B$28</f>
        <v>0.000624483814277273</v>
      </c>
      <c r="J363" s="17" t="n">
        <f aca="false">G363*Допущения!$B$17+(H363+I363)*Допущения!$B$18</f>
        <v>0.00284858682473638</v>
      </c>
      <c r="K363" s="19" t="n">
        <f aca="false">K362+J363</f>
        <v>5.05775993419515</v>
      </c>
      <c r="L363" s="19" t="n">
        <f aca="false">L362+G363*Допущения!$B$17</f>
        <v>4.19861315483906</v>
      </c>
      <c r="M363" s="19" t="n">
        <f aca="false">M362+H363*Допущения!$B$18</f>
        <v>0.467499999999986</v>
      </c>
      <c r="N363" s="19" t="n">
        <f aca="false">N362+I363*Допущения!$B$18</f>
        <v>0.391646779356109</v>
      </c>
      <c r="O363" s="19" t="n">
        <f aca="false">O362+G363+H363+I363</f>
        <v>10.1155198683903</v>
      </c>
      <c r="P363" s="17" t="n">
        <f aca="false">P362+F363</f>
        <v>0.161711568541417</v>
      </c>
      <c r="Q363" s="6" t="n">
        <f aca="false">MIN(MATCH(A363,$S$3:$X$3,1),5)</f>
        <v>5</v>
      </c>
    </row>
    <row r="364" customFormat="false" ht="15" hidden="false" customHeight="false" outlineLevel="0" collapsed="false">
      <c r="A364" s="6" t="n">
        <v>357</v>
      </c>
      <c r="B364" s="14" t="n">
        <f aca="false">INDEX($S$4:$X$4,Q364)*(INDEX($S$4:$X$4,Q364+1)/INDEX($S$4:$X$4,Q364))^((LN(A364)-LN(INDEX($S$3:$X$3,Q364)))/(LN(INDEX($S$3:$X$3,Q364+1))-LN(INDEX($S$3:$X$3,Q364))))</f>
        <v>0.00513912382520242</v>
      </c>
      <c r="C364" s="33" t="n">
        <f aca="false">C363+B364</f>
        <v>8.53910738207837</v>
      </c>
      <c r="D364" s="36" t="n">
        <f aca="false">Допущения!$B$19*(1-EXP(-Допущения!$B$26*(A364+1)))</f>
        <v>0.01</v>
      </c>
      <c r="E364" s="37" t="n">
        <f aca="false">D364-D363</f>
        <v>0</v>
      </c>
      <c r="F364" s="37" t="n">
        <f aca="false">D364*MIN(1,B364*Допущения!$B$21)</f>
        <v>0.000128478095630061</v>
      </c>
      <c r="G364" s="17" t="n">
        <f aca="false">((B364-F364*Допущения!$B$23)*Допущения!$B$13*Допущения!$B$15+B364*Допущения!$B$14*Допущения!$B$16)/1000</f>
        <v>0.00505509915066036</v>
      </c>
      <c r="H364" s="17" t="n">
        <f aca="false">E364*Допущения!$B$27</f>
        <v>0</v>
      </c>
      <c r="I364" s="17" t="n">
        <f aca="false">F364*Допущения!$B$22/30*Допущения!$B$28</f>
        <v>0.000622318277228659</v>
      </c>
      <c r="J364" s="17" t="n">
        <f aca="false">G364*Допущения!$B$17+(H364+I364)*Допущения!$B$18</f>
        <v>0.00283870871394451</v>
      </c>
      <c r="K364" s="19" t="n">
        <f aca="false">K363+J364</f>
        <v>5.06059864290909</v>
      </c>
      <c r="L364" s="19" t="n">
        <f aca="false">L363+G364*Допущения!$B$17</f>
        <v>4.20114070441439</v>
      </c>
      <c r="M364" s="19" t="n">
        <f aca="false">M363+H364*Допущения!$B$18</f>
        <v>0.467499999999986</v>
      </c>
      <c r="N364" s="19" t="n">
        <f aca="false">N363+I364*Допущения!$B$18</f>
        <v>0.391957938494723</v>
      </c>
      <c r="O364" s="19" t="n">
        <f aca="false">O363+G364+H364+I364</f>
        <v>10.1211972858182</v>
      </c>
      <c r="P364" s="17" t="n">
        <f aca="false">P363+F364</f>
        <v>0.161840046637047</v>
      </c>
      <c r="Q364" s="6" t="n">
        <f aca="false">MIN(MATCH(A364,$S$3:$X$3,1),5)</f>
        <v>5</v>
      </c>
    </row>
    <row r="365" customFormat="false" ht="15" hidden="false" customHeight="false" outlineLevel="0" collapsed="false">
      <c r="A365" s="6" t="n">
        <v>358</v>
      </c>
      <c r="B365" s="14" t="n">
        <f aca="false">INDEX($S$4:$X$4,Q365)*(INDEX($S$4:$X$4,Q365+1)/INDEX($S$4:$X$4,Q365))^((LN(A365)-LN(INDEX($S$3:$X$3,Q365)))/(LN(INDEX($S$3:$X$3,Q365+1))-LN(INDEX($S$3:$X$3,Q365))))</f>
        <v>0.00512135252886678</v>
      </c>
      <c r="C365" s="33" t="n">
        <f aca="false">C364+B365</f>
        <v>8.54422873460724</v>
      </c>
      <c r="D365" s="36" t="n">
        <f aca="false">Допущения!$B$19*(1-EXP(-Допущения!$B$26*(A365+1)))</f>
        <v>0.01</v>
      </c>
      <c r="E365" s="37" t="n">
        <f aca="false">D365-D364</f>
        <v>0</v>
      </c>
      <c r="F365" s="37" t="n">
        <f aca="false">D365*MIN(1,B365*Допущения!$B$21)</f>
        <v>0.000128033813221669</v>
      </c>
      <c r="G365" s="17" t="n">
        <f aca="false">((B365-F365*Допущения!$B$23)*Допущения!$B$13*Допущения!$B$15+B365*Допущения!$B$14*Допущения!$B$16)/1000</f>
        <v>0.00503761841501981</v>
      </c>
      <c r="H365" s="17" t="n">
        <f aca="false">E365*Допущения!$B$27</f>
        <v>0</v>
      </c>
      <c r="I365" s="17" t="n">
        <f aca="false">F365*Допущения!$B$22/30*Допущения!$B$28</f>
        <v>0.000620166275662657</v>
      </c>
      <c r="J365" s="17" t="n">
        <f aca="false">G365*Допущения!$B$17+(H365+I365)*Допущения!$B$18</f>
        <v>0.00282889234534123</v>
      </c>
      <c r="K365" s="19" t="n">
        <f aca="false">K364+J365</f>
        <v>5.06342753525443</v>
      </c>
      <c r="L365" s="19" t="n">
        <f aca="false">L364+G365*Допущения!$B$17</f>
        <v>4.2036595136219</v>
      </c>
      <c r="M365" s="19" t="n">
        <f aca="false">M364+H365*Допущения!$B$18</f>
        <v>0.467499999999986</v>
      </c>
      <c r="N365" s="19" t="n">
        <f aca="false">N364+I365*Допущения!$B$18</f>
        <v>0.392268021632555</v>
      </c>
      <c r="O365" s="19" t="n">
        <f aca="false">O364+G365+H365+I365</f>
        <v>10.1268550705089</v>
      </c>
      <c r="P365" s="17" t="n">
        <f aca="false">P364+F365</f>
        <v>0.161968080450268</v>
      </c>
      <c r="Q365" s="6" t="n">
        <f aca="false">MIN(MATCH(A365,$S$3:$X$3,1),5)</f>
        <v>5</v>
      </c>
    </row>
    <row r="366" customFormat="false" ht="15" hidden="false" customHeight="false" outlineLevel="0" collapsed="false">
      <c r="A366" s="6" t="n">
        <v>359</v>
      </c>
      <c r="B366" s="14" t="n">
        <f aca="false">INDEX($S$4:$X$4,Q366)*(INDEX($S$4:$X$4,Q366+1)/INDEX($S$4:$X$4,Q366))^((LN(A366)-LN(INDEX($S$3:$X$3,Q366)))/(LN(INDEX($S$3:$X$3,Q366+1))-LN(INDEX($S$3:$X$3,Q366))))</f>
        <v>0.00510369200101665</v>
      </c>
      <c r="C366" s="33" t="n">
        <f aca="false">C365+B366</f>
        <v>8.54933242660826</v>
      </c>
      <c r="D366" s="36" t="n">
        <f aca="false">Допущения!$B$19*(1-EXP(-Допущения!$B$26*(A366+1)))</f>
        <v>0.01</v>
      </c>
      <c r="E366" s="37" t="n">
        <f aca="false">D366-D365</f>
        <v>0</v>
      </c>
      <c r="F366" s="37" t="n">
        <f aca="false">D366*MIN(1,B366*Допущения!$B$21)</f>
        <v>0.000127592300025416</v>
      </c>
      <c r="G366" s="17" t="n">
        <f aca="false">((B366-F366*Допущения!$B$23)*Допущения!$B$13*Допущения!$B$15+B366*Допущения!$B$14*Допущения!$B$16)/1000</f>
        <v>0.00502024663680002</v>
      </c>
      <c r="H366" s="17" t="n">
        <f aca="false">E366*Допущения!$B$27</f>
        <v>0</v>
      </c>
      <c r="I366" s="17" t="n">
        <f aca="false">F366*Допущения!$B$22/30*Допущения!$B$28</f>
        <v>0.000618027687521864</v>
      </c>
      <c r="J366" s="17" t="n">
        <f aca="false">G366*Допущения!$B$17+(H366+I366)*Допущения!$B$18</f>
        <v>0.00281913716216094</v>
      </c>
      <c r="K366" s="19" t="n">
        <f aca="false">K365+J366</f>
        <v>5.0662466724166</v>
      </c>
      <c r="L366" s="19" t="n">
        <f aca="false">L365+G366*Допущения!$B$17</f>
        <v>4.2061696369403</v>
      </c>
      <c r="M366" s="19" t="n">
        <f aca="false">M365+H366*Допущения!$B$18</f>
        <v>0.467499999999986</v>
      </c>
      <c r="N366" s="19" t="n">
        <f aca="false">N365+I366*Допущения!$B$18</f>
        <v>0.392577035476316</v>
      </c>
      <c r="O366" s="19" t="n">
        <f aca="false">O365+G366+H366+I366</f>
        <v>10.1324933448332</v>
      </c>
      <c r="P366" s="17" t="n">
        <f aca="false">P365+F366</f>
        <v>0.162095672750294</v>
      </c>
      <c r="Q366" s="6" t="n">
        <f aca="false">MIN(MATCH(A366,$S$3:$X$3,1),5)</f>
        <v>5</v>
      </c>
    </row>
    <row r="367" customFormat="false" ht="15" hidden="false" customHeight="false" outlineLevel="0" collapsed="false">
      <c r="A367" s="6" t="n">
        <v>360</v>
      </c>
      <c r="B367" s="14" t="n">
        <f aca="false">INDEX($S$4:$X$4,Q367)*(INDEX($S$4:$X$4,Q367+1)/INDEX($S$4:$X$4,Q367))^((LN(A367)-LN(INDEX($S$3:$X$3,Q367)))/(LN(INDEX($S$3:$X$3,Q367+1))-LN(INDEX($S$3:$X$3,Q367))))</f>
        <v>0.00508614124556118</v>
      </c>
      <c r="C367" s="33" t="n">
        <f aca="false">C366+B367</f>
        <v>8.55441856785382</v>
      </c>
      <c r="D367" s="36" t="n">
        <f aca="false">Допущения!$B$19*(1-EXP(-Допущения!$B$26*(A367+1)))</f>
        <v>0.01</v>
      </c>
      <c r="E367" s="37" t="n">
        <f aca="false">D367-D366</f>
        <v>0</v>
      </c>
      <c r="F367" s="37" t="n">
        <f aca="false">D367*MIN(1,B367*Допущения!$B$21)</f>
        <v>0.00012715353113903</v>
      </c>
      <c r="G367" s="17" t="n">
        <f aca="false">((B367-F367*Допущения!$B$23)*Допущения!$B$13*Допущения!$B$15+B367*Допущения!$B$14*Допущения!$B$16)/1000</f>
        <v>0.00500298283619626</v>
      </c>
      <c r="H367" s="17" t="n">
        <f aca="false">E367*Допущения!$B$27</f>
        <v>0</v>
      </c>
      <c r="I367" s="17" t="n">
        <f aca="false">F367*Допущения!$B$22/30*Допущения!$B$28</f>
        <v>0.000615902392185421</v>
      </c>
      <c r="J367" s="17" t="n">
        <f aca="false">G367*Допущения!$B$17+(H367+I367)*Допущения!$B$18</f>
        <v>0.00280944261419084</v>
      </c>
      <c r="K367" s="19" t="n">
        <f aca="false">K366+J367</f>
        <v>5.06905611503079</v>
      </c>
      <c r="L367" s="19" t="n">
        <f aca="false">L366+G367*Допущения!$B$17</f>
        <v>4.2086711283584</v>
      </c>
      <c r="M367" s="19" t="n">
        <f aca="false">M366+H367*Допущения!$B$18</f>
        <v>0.467499999999986</v>
      </c>
      <c r="N367" s="19" t="n">
        <f aca="false">N366+I367*Допущения!$B$18</f>
        <v>0.392884986672408</v>
      </c>
      <c r="O367" s="19" t="n">
        <f aca="false">O366+G367+H367+I367</f>
        <v>10.1381122300616</v>
      </c>
      <c r="P367" s="17" t="n">
        <f aca="false">P366+F367</f>
        <v>0.162222826281433</v>
      </c>
      <c r="Q367" s="6" t="n">
        <f aca="false">MIN(MATCH(A367,$S$3:$X$3,1),5)</f>
        <v>5</v>
      </c>
    </row>
    <row r="368" customFormat="false" ht="15" hidden="false" customHeight="false" outlineLevel="0" collapsed="false">
      <c r="A368" s="6" t="n">
        <v>361</v>
      </c>
      <c r="B368" s="14" t="n">
        <f aca="false">INDEX($S$4:$X$4,Q368)*(INDEX($S$4:$X$4,Q368+1)/INDEX($S$4:$X$4,Q368))^((LN(A368)-LN(INDEX($S$3:$X$3,Q368)))/(LN(INDEX($S$3:$X$3,Q368+1))-LN(INDEX($S$3:$X$3,Q368))))</f>
        <v>0.00506869927810049</v>
      </c>
      <c r="C368" s="33" t="n">
        <f aca="false">C367+B368</f>
        <v>8.55948726713192</v>
      </c>
      <c r="D368" s="36" t="n">
        <f aca="false">Допущения!$B$19*(1-EXP(-Допущения!$B$26*(A368+1)))</f>
        <v>0.01</v>
      </c>
      <c r="E368" s="37" t="n">
        <f aca="false">D368-D367</f>
        <v>0</v>
      </c>
      <c r="F368" s="37" t="n">
        <f aca="false">D368*MIN(1,B368*Допущения!$B$21)</f>
        <v>0.000126717481952512</v>
      </c>
      <c r="G368" s="17" t="n">
        <f aca="false">((B368-F368*Допущения!$B$23)*Допущения!$B$13*Допущения!$B$15+B368*Допущения!$B$14*Допущения!$B$16)/1000</f>
        <v>0.00498582604490355</v>
      </c>
      <c r="H368" s="17" t="n">
        <f aca="false">E368*Допущения!$B$27</f>
        <v>0</v>
      </c>
      <c r="I368" s="17" t="n">
        <f aca="false">F368*Допущения!$B$22/30*Допущения!$B$28</f>
        <v>0.000613790270448173</v>
      </c>
      <c r="J368" s="17" t="n">
        <f aca="false">G368*Допущения!$B$17+(H368+I368)*Допущения!$B$18</f>
        <v>0.00279980815767586</v>
      </c>
      <c r="K368" s="19" t="n">
        <f aca="false">K367+J368</f>
        <v>5.07185592318846</v>
      </c>
      <c r="L368" s="19" t="n">
        <f aca="false">L367+G368*Допущения!$B$17</f>
        <v>4.21116404138085</v>
      </c>
      <c r="M368" s="19" t="n">
        <f aca="false">M367+H368*Допущения!$B$18</f>
        <v>0.467499999999986</v>
      </c>
      <c r="N368" s="19" t="n">
        <f aca="false">N367+I368*Допущения!$B$18</f>
        <v>0.393191881807633</v>
      </c>
      <c r="O368" s="19" t="n">
        <f aca="false">O367+G368+H368+I368</f>
        <v>10.1437118463769</v>
      </c>
      <c r="P368" s="17" t="n">
        <f aca="false">P367+F368</f>
        <v>0.162349543763385</v>
      </c>
      <c r="Q368" s="6" t="n">
        <f aca="false">MIN(MATCH(A368,$S$3:$X$3,1),5)</f>
        <v>5</v>
      </c>
    </row>
    <row r="369" customFormat="false" ht="15" hidden="false" customHeight="false" outlineLevel="0" collapsed="false">
      <c r="A369" s="6" t="n">
        <v>362</v>
      </c>
      <c r="B369" s="14" t="n">
        <f aca="false">INDEX($S$4:$X$4,Q369)*(INDEX($S$4:$X$4,Q369+1)/INDEX($S$4:$X$4,Q369))^((LN(A369)-LN(INDEX($S$3:$X$3,Q369)))/(LN(INDEX($S$3:$X$3,Q369+1))-LN(INDEX($S$3:$X$3,Q369))))</f>
        <v>0.00505136512575646</v>
      </c>
      <c r="C369" s="33" t="n">
        <f aca="false">C368+B369</f>
        <v>8.56453863225767</v>
      </c>
      <c r="D369" s="36" t="n">
        <f aca="false">Допущения!$B$19*(1-EXP(-Допущения!$B$26*(A369+1)))</f>
        <v>0.01</v>
      </c>
      <c r="E369" s="37" t="n">
        <f aca="false">D369-D368</f>
        <v>0</v>
      </c>
      <c r="F369" s="37" t="n">
        <f aca="false">D369*MIN(1,B369*Допущения!$B$21)</f>
        <v>0.000126284128143912</v>
      </c>
      <c r="G369" s="17" t="n">
        <f aca="false">((B369-F369*Допущения!$B$23)*Допущения!$B$13*Допущения!$B$15+B369*Допущения!$B$14*Допущения!$B$16)/1000</f>
        <v>0.00496877530595035</v>
      </c>
      <c r="H369" s="17" t="n">
        <f aca="false">E369*Допущения!$B$27</f>
        <v>0</v>
      </c>
      <c r="I369" s="17" t="n">
        <f aca="false">F369*Допущения!$B$22/30*Допущения!$B$28</f>
        <v>0.00061169120450019</v>
      </c>
      <c r="J369" s="17" t="n">
        <f aca="false">G369*Допущения!$B$17+(H369+I369)*Допущения!$B$18</f>
        <v>0.00279023325522527</v>
      </c>
      <c r="K369" s="19" t="n">
        <f aca="false">K368+J369</f>
        <v>5.07464615644369</v>
      </c>
      <c r="L369" s="19" t="n">
        <f aca="false">L368+G369*Допущения!$B$17</f>
        <v>4.21364842903383</v>
      </c>
      <c r="M369" s="19" t="n">
        <f aca="false">M368+H369*Допущения!$B$18</f>
        <v>0.467499999999986</v>
      </c>
      <c r="N369" s="19" t="n">
        <f aca="false">N368+I369*Допущения!$B$18</f>
        <v>0.393497727409883</v>
      </c>
      <c r="O369" s="19" t="n">
        <f aca="false">O368+G369+H369+I369</f>
        <v>10.1492923128874</v>
      </c>
      <c r="P369" s="17" t="n">
        <f aca="false">P368+F369</f>
        <v>0.162475827891529</v>
      </c>
      <c r="Q369" s="6" t="n">
        <f aca="false">MIN(MATCH(A369,$S$3:$X$3,1),5)</f>
        <v>5</v>
      </c>
    </row>
    <row r="370" customFormat="false" ht="15" hidden="false" customHeight="false" outlineLevel="0" collapsed="false">
      <c r="A370" s="6" t="n">
        <v>363</v>
      </c>
      <c r="B370" s="14" t="n">
        <f aca="false">INDEX($S$4:$X$4,Q370)*(INDEX($S$4:$X$4,Q370+1)/INDEX($S$4:$X$4,Q370))^((LN(A370)-LN(INDEX($S$3:$X$3,Q370)))/(LN(INDEX($S$3:$X$3,Q370+1))-LN(INDEX($S$3:$X$3,Q370))))</f>
        <v>0.00503413782700662</v>
      </c>
      <c r="C370" s="33" t="n">
        <f aca="false">C369+B370</f>
        <v>8.56957277008468</v>
      </c>
      <c r="D370" s="36" t="n">
        <f aca="false">Допущения!$B$19*(1-EXP(-Допущения!$B$26*(A370+1)))</f>
        <v>0.01</v>
      </c>
      <c r="E370" s="37" t="n">
        <f aca="false">D370-D369</f>
        <v>0</v>
      </c>
      <c r="F370" s="37" t="n">
        <f aca="false">D370*MIN(1,B370*Допущения!$B$21)</f>
        <v>0.000125853445675165</v>
      </c>
      <c r="G370" s="17" t="n">
        <f aca="false">((B370-F370*Допущения!$B$23)*Допущения!$B$13*Допущения!$B$15+B370*Допущения!$B$14*Допущения!$B$16)/1000</f>
        <v>0.00495182967353506</v>
      </c>
      <c r="H370" s="17" t="n">
        <f aca="false">E370*Допущения!$B$27</f>
        <v>0</v>
      </c>
      <c r="I370" s="17" t="n">
        <f aca="false">F370*Допущения!$B$22/30*Допущения!$B$28</f>
        <v>0.000609605077906639</v>
      </c>
      <c r="J370" s="17" t="n">
        <f aca="false">G370*Допущения!$B$17+(H370+I370)*Допущения!$B$18</f>
        <v>0.00278071737572085</v>
      </c>
      <c r="K370" s="19" t="n">
        <f aca="false">K369+J370</f>
        <v>5.07742687381941</v>
      </c>
      <c r="L370" s="19" t="n">
        <f aca="false">L369+G370*Допущения!$B$17</f>
        <v>4.2161243438706</v>
      </c>
      <c r="M370" s="19" t="n">
        <f aca="false">M369+H370*Допущения!$B$18</f>
        <v>0.467499999999986</v>
      </c>
      <c r="N370" s="19" t="n">
        <f aca="false">N369+I370*Допущения!$B$18</f>
        <v>0.393802529948836</v>
      </c>
      <c r="O370" s="19" t="n">
        <f aca="false">O369+G370+H370+I370</f>
        <v>10.1548537476388</v>
      </c>
      <c r="P370" s="17" t="n">
        <f aca="false">P369+F370</f>
        <v>0.162601681337205</v>
      </c>
      <c r="Q370" s="6" t="n">
        <f aca="false">MIN(MATCH(A370,$S$3:$X$3,1),5)</f>
        <v>5</v>
      </c>
    </row>
    <row r="371" customFormat="false" ht="15" hidden="false" customHeight="false" outlineLevel="0" collapsed="false">
      <c r="A371" s="6" t="n">
        <v>364</v>
      </c>
      <c r="B371" s="14" t="n">
        <f aca="false">INDEX($S$4:$X$4,Q371)*(INDEX($S$4:$X$4,Q371+1)/INDEX($S$4:$X$4,Q371))^((LN(A371)-LN(INDEX($S$3:$X$3,Q371)))/(LN(INDEX($S$3:$X$3,Q371+1))-LN(INDEX($S$3:$X$3,Q371))))</f>
        <v>0.00501701643152067</v>
      </c>
      <c r="C371" s="33" t="n">
        <f aca="false">C370+B371</f>
        <v>8.5745897865162</v>
      </c>
      <c r="D371" s="36" t="n">
        <f aca="false">Допущения!$B$19*(1-EXP(-Допущения!$B$26*(A371+1)))</f>
        <v>0.01</v>
      </c>
      <c r="E371" s="37" t="n">
        <f aca="false">D371-D370</f>
        <v>0</v>
      </c>
      <c r="F371" s="37" t="n">
        <f aca="false">D371*MIN(1,B371*Допущения!$B$21)</f>
        <v>0.000125425410788017</v>
      </c>
      <c r="G371" s="17" t="n">
        <f aca="false">((B371-F371*Допущения!$B$23)*Допущения!$B$13*Допущения!$B$15+B371*Допущения!$B$14*Допущения!$B$16)/1000</f>
        <v>0.00493498821286531</v>
      </c>
      <c r="H371" s="17" t="n">
        <f aca="false">E371*Допущения!$B$27</f>
        <v>0</v>
      </c>
      <c r="I371" s="17" t="n">
        <f aca="false">F371*Допущения!$B$22/30*Допущения!$B$28</f>
        <v>0.000607531775587999</v>
      </c>
      <c r="J371" s="17" t="n">
        <f aca="false">G371*Допущения!$B$17+(H371+I371)*Допущения!$B$18</f>
        <v>0.00277125999422665</v>
      </c>
      <c r="K371" s="19" t="n">
        <f aca="false">K370+J371</f>
        <v>5.08019813381363</v>
      </c>
      <c r="L371" s="19" t="n">
        <f aca="false">L370+G371*Допущения!$B$17</f>
        <v>4.21859183797703</v>
      </c>
      <c r="M371" s="19" t="n">
        <f aca="false">M370+H371*Допущения!$B$18</f>
        <v>0.467499999999986</v>
      </c>
      <c r="N371" s="19" t="n">
        <f aca="false">N370+I371*Допущения!$B$18</f>
        <v>0.39410629583663</v>
      </c>
      <c r="O371" s="19" t="n">
        <f aca="false">O370+G371+H371+I371</f>
        <v>10.1603962676273</v>
      </c>
      <c r="P371" s="17" t="n">
        <f aca="false">P370+F371</f>
        <v>0.162727106747993</v>
      </c>
      <c r="Q371" s="6" t="n">
        <f aca="false">MIN(MATCH(A371,$S$3:$X$3,1),5)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2026-10-05T19:51:10Z</dcterms:created>
  <dc:creator>openpyxl</dc:creator>
  <dc:description/>
  <dc:language>en-US</dc:language>
  <cp:lastModifiedBy/>
  <dcterms:modified xsi:type="dcterms:W3CDTF">2026-10-05T19:51:10Z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